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Аналоги_CF" sheetId="2" state="visible" r:id="rId4"/>
    <sheet name="Панель_EPA" sheetId="3" state="visible" r:id="rId5"/>
    <sheet name="Индекс_динамики" sheetId="4" state="visible" r:id="rId6"/>
    <sheet name="Ряды_Азот" sheetId="5" state="visible" r:id="rId7"/>
    <sheet name="Близнецы" sheetId="6" state="visible" r:id="rId8"/>
    <sheet name="Источники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<sst xmlns="http://schemas.openxmlformats.org/spreadsheetml/2006/main" count="212" uniqueCount="166">
  <si>
    <t xml:space="preserve">Параметры оценки выбросов АО «Невинномысский Азот»</t>
  </si>
  <si>
    <t xml:space="preserve">Синий шрифт — вводимые значения; жёлтая заливка — параметры, которые нужно запросить у предприятия. Класс: A — первичный документ о «Азоте», B — расчёт по аналогам, C — вторичный источник или допущение.</t>
  </si>
  <si>
    <t xml:space="preserve">Код</t>
  </si>
  <si>
    <t xml:space="preserve">Параметр</t>
  </si>
  <si>
    <t xml:space="preserve">Ед.</t>
  </si>
  <si>
    <t xml:space="preserve">Значение</t>
  </si>
  <si>
    <t xml:space="preserve">Мин.</t>
  </si>
  <si>
    <t xml:space="preserve">Макс.</t>
  </si>
  <si>
    <t xml:space="preserve">Класс</t>
  </si>
  <si>
    <t xml:space="preserve">Источник / основание</t>
  </si>
  <si>
    <t xml:space="preserve">CAP</t>
  </si>
  <si>
    <t xml:space="preserve">Мощность «Азота» по аммиаку</t>
  </si>
  <si>
    <t xml:space="preserve">кт/год</t>
  </si>
  <si>
    <t xml:space="preserve">C</t>
  </si>
  <si>
    <t xml:space="preserve">Открытые материалы, диапазон 1,0–1,35 млн т; принято как в § 3.1. СМИ (2025): «до 1 млн т аммиака». Сверить с годовым отчётом эмитента</t>
  </si>
  <si>
    <t xml:space="preserve">E_TOT</t>
  </si>
  <si>
    <t xml:space="preserve">Полные выбросы CO2 на т валовой мощности (медиана 5 заводов CF, 2022–2023)</t>
  </si>
  <si>
    <t xml:space="preserve">т/т</t>
  </si>
  <si>
    <t xml:space="preserve">B</t>
  </si>
  <si>
    <t xml:space="preserve">Лист «Аналоги_CF»: EPA GHGRP / CF Industries 10-K FY2022</t>
  </si>
  <si>
    <t xml:space="preserve">E_PROC</t>
  </si>
  <si>
    <t xml:space="preserve">Процессный CO2 аммиака на т валовой мощности (медиана CF)</t>
  </si>
  <si>
    <t xml:space="preserve">Там же; включает CO2, связываемый затем в карбамид (EPA Subpart G Information Sheet)</t>
  </si>
  <si>
    <t xml:space="preserve">AN</t>
  </si>
  <si>
    <t xml:space="preserve">Выпуск аммиачной селитры (вкл. на КАС)</t>
  </si>
  <si>
    <t xml:space="preserve">СМИ 2025: «более 1 млн т» и «около 1,4 млн т»; запросить у предприятия</t>
  </si>
  <si>
    <t xml:space="preserve">K_HNO3</t>
  </si>
  <si>
    <t xml:space="preserve">Азотная кислота на т селитры (стехиометрия NH4NO3)</t>
  </si>
  <si>
    <t xml:space="preserve">—</t>
  </si>
  <si>
    <t xml:space="preserve">63/80</t>
  </si>
  <si>
    <t xml:space="preserve">EF_N2O</t>
  </si>
  <si>
    <t xml:space="preserve">Удельный выброс N2O на т HNO3, Россия, без очистки</t>
  </si>
  <si>
    <t xml:space="preserve">кг/т</t>
  </si>
  <si>
    <t xml:space="preserve">Jörß, Ludig, Schneider (Öko-Institut), 2023: Россия 8–9 кг N2O/т HNO3</t>
  </si>
  <si>
    <t xml:space="preserve">R_A</t>
  </si>
  <si>
    <t xml:space="preserve">Отношение N2O (CO2-экв.) к процессному CO2 у аналогов США, медиана</t>
  </si>
  <si>
    <t xml:space="preserve">Лист «Аналоги_CF» → «Панель_EPA», 2023; квартили в кол. Мин./Макс.</t>
  </si>
  <si>
    <t xml:space="preserve">GWP</t>
  </si>
  <si>
    <t xml:space="preserve">Потенциал глобального потепления N2O (AR4)</t>
  </si>
  <si>
    <t xml:space="preserve">МГЭИК, 4-й оценочный доклад; используется в EPA GHGRP</t>
  </si>
  <si>
    <t xml:space="preserve">UREA</t>
  </si>
  <si>
    <t xml:space="preserve">Выпуск карбамида</t>
  </si>
  <si>
    <t xml:space="preserve">Сценарное допущение; открытых данных нет. Запросить у предприятия</t>
  </si>
  <si>
    <t xml:space="preserve">K_UREA</t>
  </si>
  <si>
    <t xml:space="preserve">CO2, связываемый на т карбамида</t>
  </si>
  <si>
    <t xml:space="preserve">Стехиометрия CO(NH2)2: 44/60</t>
  </si>
  <si>
    <t xml:space="preserve">FOOD</t>
  </si>
  <si>
    <t xml:space="preserve">Мощность установки пищевой жидкой углекислоты (с декабря 2018 г.)</t>
  </si>
  <si>
    <t xml:space="preserve">ЕвроХим, 2018 (см. § 3.1); фактические продажи запросить</t>
  </si>
  <si>
    <t xml:space="preserve">D2025</t>
  </si>
  <si>
    <t xml:space="preserve">Дни простоя в 2025 г. (остановка 14.06.2025)</t>
  </si>
  <si>
    <t xml:space="preserve">дней</t>
  </si>
  <si>
    <t xml:space="preserve">Факт остановки — СМИ; длительность не раскрыта. Сценарный рычаг</t>
  </si>
  <si>
    <t xml:space="preserve">D2026</t>
  </si>
  <si>
    <t xml:space="preserve">Дни простоя в 2026 г.</t>
  </si>
  <si>
    <t xml:space="preserve">Удар 16.05.2026 по СМИ, данных о простое нет. 2026 г. — оценка на полный год</t>
  </si>
  <si>
    <t xml:space="preserve">Заводы CF Industries в США: мощность и выбросы</t>
  </si>
  <si>
    <t xml:space="preserve">Мощность — CF Industries, Form 10-K FY2022 (валовая, с учётом нормальных простоев); выбросы — EPA GHGRP (Envirofacts), т.</t>
  </si>
  <si>
    <t xml:space="preserve">Завод</t>
  </si>
  <si>
    <t xml:space="preserve">ID EPA</t>
  </si>
  <si>
    <t xml:space="preserve">Мощность NH3, кт</t>
  </si>
  <si>
    <t xml:space="preserve">CO2 полный 2023, т</t>
  </si>
  <si>
    <t xml:space="preserve">CO2 процесс 2023, т</t>
  </si>
  <si>
    <t xml:space="preserve">CO2 полный / мощн., т/т (ср. 2022–23)</t>
  </si>
  <si>
    <t xml:space="preserve">CO2 процесс / мощн., т/т (ср. 2022–23)</t>
  </si>
  <si>
    <t xml:space="preserve">Индекс масштаба «Азот» / завод</t>
  </si>
  <si>
    <t xml:space="preserve">CO2 полный 2022, т</t>
  </si>
  <si>
    <t xml:space="preserve">CO2 процесс 2022, т</t>
  </si>
  <si>
    <t xml:space="preserve">Donaldsonville</t>
  </si>
  <si>
    <t xml:space="preserve">Port Neal</t>
  </si>
  <si>
    <t xml:space="preserve">Verdigris</t>
  </si>
  <si>
    <t xml:space="preserve">Woodward</t>
  </si>
  <si>
    <t xml:space="preserve">Yazoo City</t>
  </si>
  <si>
    <t xml:space="preserve">Индекс масштаба отвечает на вопрос «на сколько “Азот” больше или меньше завода-аналога». По масштабу ближе всего Port Neal и Verdigris (индекс ≈ 0,94–0,96).</t>
  </si>
  <si>
    <t xml:space="preserve">Технологический индекс: аналоги США и «Азот» работают на природном газе (паровая конверсия). Угольные заводы Китая примерно вдвое более углеродоёмки (IEA Ammonia Technology Roadmap, 2021), поэтому как аналог по CO2 не используются.</t>
  </si>
  <si>
    <t xml:space="preserve">Панель интегрированных азотных комплексов США (EPA GHGRP): процессный CO2 аммиака (Subpart G), т</t>
  </si>
  <si>
    <t xml:space="preserve">Отбор: полный ряд 2017–2023, ≥150 кт в 2023, есть отчётность по азотной кислоте, без пусковых лет. Источник: data.epa.gov/efservice, таблицы G_SUBPART_LEVEL_INFORMATION и V_SUBPART_LEVEL_INFORMATION (выгружено 14.10.2026).</t>
  </si>
  <si>
    <t xml:space="preserve">ID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</si>
  <si>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</si>
  <si>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</si>
  <si>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</si>
  <si>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</si>
  <si>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</si>
  <si>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</si>
  <si>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</si>
  <si>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N2O 2023, т N2O</t>
  </si>
  <si>
    <t xml:space="preserve">N2O/процесс CO2 (CO2-экв.)</t>
  </si>
  <si>
    <t xml:space="preserve">Coffeyville (CVR)</t>
  </si>
  <si>
    <t xml:space="preserve">Lima (Nutrien)</t>
  </si>
  <si>
    <t xml:space="preserve">Verdigris (CF)</t>
  </si>
  <si>
    <t xml:space="preserve">Donaldsonville (CF)</t>
  </si>
  <si>
    <t xml:space="preserve">Enid (Koch)</t>
  </si>
  <si>
    <t xml:space="preserve">Geismar (Nutrien)</t>
  </si>
  <si>
    <t xml:space="preserve">El Dorado (LSB)</t>
  </si>
  <si>
    <t xml:space="preserve">Yazoo City (CF)</t>
  </si>
  <si>
    <t xml:space="preserve">Augusta (Nutrien)</t>
  </si>
  <si>
    <t xml:space="preserve">East Dubuque (CVR)</t>
  </si>
  <si>
    <t xml:space="preserve">Woodward (CF)</t>
  </si>
  <si>
    <t xml:space="preserve">Pryor (LSB)</t>
  </si>
  <si>
    <t xml:space="preserve">Cheyenne (Dyno Nobel)</t>
  </si>
  <si>
    <t xml:space="preserve">Port Neal (CF)</t>
  </si>
  <si>
    <t xml:space="preserve">Dodge City (Koch)</t>
  </si>
  <si>
    <t xml:space="preserve">Beatrice (Koch)</t>
  </si>
  <si>
    <t xml:space="preserve">Fort Dodge (Koch)</t>
  </si>
  <si>
    <t xml:space="preserve">Cherokee (LSB)</t>
  </si>
  <si>
    <t xml:space="preserve">Индекс выбросов к 2017 г.: медиана по заводам</t>
  </si>
  <si>
    <t xml:space="preserve">медиана I(t)</t>
  </si>
  <si>
    <t xml:space="preserve">Годовой эффект exp(γt), модель с фиксированными эффектами (лог.)</t>
  </si>
  <si>
    <t xml:space="preserve">95 % интервал, нижняя граница (бутстреп 2000)</t>
  </si>
  <si>
    <t xml:space="preserve">95 % интервал, верхняя граница</t>
  </si>
  <si>
    <t xml:space="preserve">Ст. откл. остатков завода (лог.): 0.073 — используется как идиосинкратический шум в Монте-Карло</t>
  </si>
  <si>
    <t xml:space="preserve">Индекс активности «Азота» (2023 = 1) и сравнение с выпуском аммиака в России</t>
  </si>
  <si>
    <t xml:space="preserve">Год</t>
  </si>
  <si>
    <t xml:space="preserve">exp(γt) США, 2017=1</t>
  </si>
  <si>
    <t xml:space="preserve">Индекс «Азота», 2023=1</t>
  </si>
  <si>
    <t xml:space="preserve">Выпуск аммиака РФ, млн т</t>
  </si>
  <si>
    <t xml:space="preserve">Индекс РФ, 2023=1</t>
  </si>
  <si>
    <t xml:space="preserve">Примечание</t>
  </si>
  <si>
    <t xml:space="preserve">Выпуск РФ за 2018 г. в найденных источниках не приведён</t>
  </si>
  <si>
    <t xml:space="preserve">≈19,2 млн т: расчёт по росту 2020 г. на 2,1 % (RUPEC)</t>
  </si>
  <si>
    <t xml:space="preserve">Падение связано с ограничением экспорта (BusinesStat); интегрированный «Азот» затронут меньше</t>
  </si>
  <si>
    <t xml:space="preserve">2024</t>
  </si>
  <si>
    <t xml:space="preserve">Аналоговых данных EPA за 2024 г. нет; индекс «Азота» принят 1,0</t>
  </si>
  <si>
    <t xml:space="preserve">2025</t>
  </si>
  <si>
    <t xml:space="preserve">Индекс 1,0 до учёта простоя (лист «Параметры», D2025)</t>
  </si>
  <si>
    <t xml:space="preserve">2026</t>
  </si>
  <si>
    <t xml:space="preserve">Оценка на полный год; индекс 1,0 до учёта простоя</t>
  </si>
  <si>
    <t xml:space="preserve">Источники ряда РФ: 2017, 2021 — BusinesStat (marketing.rbc.ru, 2022); 2020 — RUPEC, 01.02.2021; 2022 — 17,0 млн т (BusinesStat, 2023); 2023 — ≈17,25 млн т (2024 г. +4,9 %, TAdviser); 2024 — 18,1 и 2025 — 18,6 млн т (Росстат по PortNews, 09.02.2026).</t>
  </si>
  <si>
    <t xml:space="preserve">Ряд РФ не используется в расчёте: национальный выпуск отражает экспортный шок 2022 г., а «Азот» перерабатывает аммиак на месте. Он служит проверкой знака изменений.</t>
  </si>
  <si>
    <t xml:space="preserve">Модельные ряды выбросов АО «Невинномысский Азот», 2017–2026 гг., тыс. т</t>
  </si>
  <si>
    <t xml:space="preserve">Не отчётные данные предприятия, а оценка по заводам-аналогам. Все ячейки — формулы от листа «Параметры». Интервалы 5–95 % — Монте-Карло, 20 000 испытаний (значения).</t>
  </si>
  <si>
    <t xml:space="preserve">Индекс активности</t>
  </si>
  <si>
    <t xml:space="preserve">Доля года в работе</t>
  </si>
  <si>
    <t xml:space="preserve">CO2 полный, граница EPA</t>
  </si>
  <si>
    <t xml:space="preserve">CO2 в карбамид</t>
  </si>
  <si>
    <t xml:space="preserve">CO2 в атмосферу, граница МГЭИК</t>
  </si>
  <si>
    <t xml:space="preserve">N2O, CO2-экв. (без очистки)</t>
  </si>
  <si>
    <t xml:space="preserve">N2O, CO2-экв. (очистка уровня США)</t>
  </si>
  <si>
    <t xml:space="preserve">Всего CO2-экв., МГЭИК, без очистки N2O</t>
  </si>
  <si>
    <t xml:space="preserve">Процессный CO2 аммиака (технологический)</t>
  </si>
  <si>
    <t xml:space="preserve">Пищевая CO2</t>
  </si>
  <si>
    <t xml:space="preserve">Свободный технологический CO2</t>
  </si>
  <si>
    <t xml:space="preserve">CO2 полный: 5 %</t>
  </si>
  <si>
    <t xml:space="preserve">CO2 полный: 95 %</t>
  </si>
  <si>
    <t xml:space="preserve">N2O без очистки: 5 %</t>
  </si>
  <si>
    <t xml:space="preserve">N2O без очистки: 95 %</t>
  </si>
  <si>
    <t xml:space="preserve">Процессный CO2: 5 %</t>
  </si>
  <si>
    <t xml:space="preserve">Процессный CO2: 95 %</t>
  </si>
  <si>
    <t xml:space="preserve">Пояснения. «Граница EPA»: процессный CO2 включает CO2, затем связанный в карбамид. «Граница МГЭИК»: CO2 карбамида вычитается, как в национальной отчётности. N2O «без очистки» — российская удельная эмиссия 8–9 кг/т HNO3; «очистка уровня США» — отношение N2O к CO2 у аналогов. Какой вариант верен, зависит от наличия каталитического разложения N2O на агрегатах азотной кислоты «Азота».</t>
  </si>
  <si>
    <t xml:space="preserve">Интервалы Монте-Карло учитывают мощность (1,0–1,35 млн т), разброс удельных выбросов аналогов, бутстреп годовых эффектов и шум отдельного завода (σ = 0,073) при нулевом простое; карбамид и простои в интервалы не входят.</t>
  </si>
  <si>
    <t xml:space="preserve">Проверка «индексом подобия»: «Азот» как масштабированная копия завода-аналога</t>
  </si>
  <si>
    <t xml:space="preserve">Ряд = индекс масштаба × полные выбросы CO2 завода-аналога. Показывает реалистичные годовые колебания отдельного завода, а не среднего по отрасли.</t>
  </si>
  <si>
    <t xml:space="preserve">Verdigris, CO2 полный, т</t>
  </si>
  <si>
    <t xml:space="preserve">Port Neal, CO2 полный, т</t>
  </si>
  <si>
    <t xml:space="preserve">«Азот» как 0,96 × Verdigris, тыс. т</t>
  </si>
  <si>
    <t xml:space="preserve">«Азот» как 0,94 × Port Neal, тыс. т</t>
  </si>
  <si>
    <t xml:space="preserve">Основная оценка (лист «Ряды_Азот»), тыс. т</t>
  </si>
  <si>
    <t xml:space="preserve">Источники</t>
  </si>
  <si>
    <t xml:space="preserve">1. U.S. EPA. Greenhouse Gas Reporting Program, Envirofacts API (data.epa.gov/efservice): G_SUBPART_LEVEL_INFORMATION, V_SUBPART_LEVEL_INFORMATION, PUB_FACTS_SECTOR_GHG_EMISSION, PUB_DIM_FACILITY. Выгружено 14.10.2026.</t>
  </si>
  <si>
    <t xml:space="preserve">2. U.S. EPA. Subpart G Information Sheet (Ammonia Manufacturing). URL: https://www.epa.gov/ghgreporting/subpart-g-information-sheet</t>
  </si>
  <si>
    <t xml:space="preserve">3. CF Industries Holdings, Inc. Form 10-K for the fiscal year ended December 31, 2022. URL: https://www.sec.gov/Archives/edgar/data/1324404/000132440423000006/cf-20221231.htm</t>
  </si>
  <si>
    <t xml:space="preserve">4. Jörß W., Ludig S., Schneider L. Mitigation potentials for emissions of nitrous oxide from chemical industry in industrialised countries world-wide. Berlin: Öko-Institut e.V., 2023.</t>
  </si>
  <si>
    <t xml:space="preserve">5. IEA. Ammonia Technology Roadmap. Paris, 2021 (соотношение угольной и газовой технологии по CO2 — по изложению Ammonia Energy Association).</t>
  </si>
  <si>
    <t xml:space="preserve">6. Производство аммиака в России в 2025 году выросло на 2,8 % — до 18,6 млн тонн // PortNews. 09.02.2026.</t>
  </si>
  <si>
    <t xml:space="preserve">7. BusinesStat: обзоры рынка аммиака в России (marketing.rbc.ru, 2022–2024); RUPEC, 01.02.2021.</t>
  </si>
  <si>
    <t xml:space="preserve">8. Остановки «Азота»: The Moscow Times, 16.06.2025 и 16.05.2026; Kyiv Post, 04.12.2025 (даты событий; сведения о мощностях в этих материалах не подтверждены независимо).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</si>
</sst>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0"/>
    <numFmt numFmtId="168" formatCode="#,##0.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«Невинномысский Азот»: модельные выбросы, тыс. 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Ряды_Азот!F4</c:f>
              <c:strCache>
                <c:ptCount val="1"/>
                <c:pt idx="0">
                  <c:v>CO2 в атмосферу, граница МГЭИК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Ряды_Азот!$A$5:$A$14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Ряды_Азот!$F$5:$F$14</c:f>
              <c:numCache>
                <c:formatCode>#,##0</c:formatCode>
                <c:ptCount val="10"/>
                <c:pt idx="0">
                  <c:v>1672.26975497443</c:v>
                </c:pt>
                <c:pt idx="1">
                  <c:v>1728.05542300372</c:v>
                </c:pt>
                <c:pt idx="2">
                  <c:v>1730.87577105288</c:v>
                </c:pt>
                <c:pt idx="3">
                  <c:v>1840.43368394269</c:v>
                </c:pt>
                <c:pt idx="4">
                  <c:v>1728.7248153685</c:v>
                </c:pt>
                <c:pt idx="5">
                  <c:v>1759.30757759022</c:v>
                </c:pt>
                <c:pt idx="6">
                  <c:v>1813.59771666667</c:v>
                </c:pt>
                <c:pt idx="7">
                  <c:v>1813.59771666667</c:v>
                </c:pt>
                <c:pt idx="8">
                  <c:v>1813.59771666667</c:v>
                </c:pt>
                <c:pt idx="9">
                  <c:v>1813.59771666667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Ряды_Азот!G4</c:f>
              <c:strCache>
                <c:ptCount val="1"/>
                <c:pt idx="0">
                  <c:v>N2O, CO2-экв. (без очистки)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Ряды_Азот!$A$5:$A$14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Ряды_Азот!$G$5:$G$14</c:f>
              <c:numCache>
                <c:formatCode>#,##0</c:formatCode>
                <c:ptCount val="10"/>
                <c:pt idx="0">
                  <c:v>2207.15266216432</c:v>
                </c:pt>
                <c:pt idx="1">
                  <c:v>2280.78162384063</c:v>
                </c:pt>
                <c:pt idx="2">
                  <c:v>2284.50407273765</c:v>
                </c:pt>
                <c:pt idx="3">
                  <c:v>2429.10457057995</c:v>
                </c:pt>
                <c:pt idx="4">
                  <c:v>2281.66512432586</c:v>
                </c:pt>
                <c:pt idx="5">
                  <c:v>2322.0299188533</c:v>
                </c:pt>
                <c:pt idx="6">
                  <c:v>2393.685</c:v>
                </c:pt>
                <c:pt idx="7">
                  <c:v>2393.685</c:v>
                </c:pt>
                <c:pt idx="8">
                  <c:v>2393.685</c:v>
                </c:pt>
                <c:pt idx="9">
                  <c:v>2393.685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Ряды_Азот!J4</c:f>
              <c:strCache>
                <c:ptCount val="1"/>
                <c:pt idx="0">
                  <c:v>Процессный CO2 аммиака (технологический)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Ряды_Азот!$A$5:$A$14</c:f>
              <c:strCach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strCache>
            </c:strRef>
          </c:cat>
          <c:val>
            <c:numRef>
              <c:f>Ряды_Азот!$J$5:$J$14</c:f>
              <c:numCache>
                <c:formatCode>#,##0</c:formatCode>
                <c:ptCount val="10"/>
                <c:pt idx="0">
                  <c:v>1203.69839853023</c:v>
                </c:pt>
                <c:pt idx="1">
                  <c:v>1243.85287663884</c:v>
                </c:pt>
                <c:pt idx="2">
                  <c:v>1245.8829608522</c:v>
                </c:pt>
                <c:pt idx="3">
                  <c:v>1324.74265672334</c:v>
                </c:pt>
                <c:pt idx="4">
                  <c:v>1244.33470471417</c:v>
                </c:pt>
                <c:pt idx="5">
                  <c:v>1266.34815188643</c:v>
                </c:pt>
                <c:pt idx="6">
                  <c:v>1305.42614948097</c:v>
                </c:pt>
                <c:pt idx="7">
                  <c:v>1305.42614948097</c:v>
                </c:pt>
                <c:pt idx="8">
                  <c:v>1305.42614948097</c:v>
                </c:pt>
                <c:pt idx="9">
                  <c:v>1305.42614948097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753177"/>
        <c:axId val="798981"/>
      </c:lineChart>
      <c:catAx>
        <c:axId val="92753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81"/>
        <c:crosses val="autoZero"/>
        <c:auto val="1"/>
        <c:lblAlgn val="ctr"/>
        <c:lblOffset val="100"/>
        <c:noMultiLvlLbl val="0"/>
      </c:catAx>
      <c:valAx>
        <c:axId val="798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тыс. 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3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161280</xdr:rowOff>
    </xdr:from>
    <xdr:to>
      <xdr:col>10</xdr:col>
      <xdr:colOff>307440</xdr:colOff>
      <xdr:row>31</xdr:row>
      <xdr:rowOff>162360</xdr:rowOff>
    </xdr:to>
    <xdr:graphicFrame>
      <xdr:nvGraphicFramePr>
        <xdr:cNvPr id="0" name="Chart 1"/>
        <xdr:cNvGraphicFramePr/>
      </xdr:nvGraphicFramePr>
      <xdr:xfrm>
        <a:off x="493560" y="3429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5.35" hidden="false" customHeight="false" outlineLevel="0" collapsed="false">
      <c r="A5" s="4" t="s">
        <v>10</v>
      </c>
      <c r="B5" s="5" t="s">
        <v>11</v>
      </c>
      <c r="C5" s="5" t="s">
        <v>12</v>
      </c>
      <c r="D5" s="6" t="n">
        <v>1160</v>
      </c>
      <c r="E5" s="7" t="n">
        <v>1000</v>
      </c>
      <c r="F5" s="7" t="n">
        <v>1350</v>
      </c>
      <c r="G5" s="5" t="s">
        <v>13</v>
      </c>
      <c r="H5" s="8" t="s">
        <v>14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9" t="n">
        <f aca="false">MEDIAN(Аналоги_CF!$F$5:$F$9)</f>
        <v>1.87939458333333</v>
      </c>
      <c r="E6" s="9" t="n">
        <f aca="false">MIN(Аналоги_CF!$F$5:$F$9)</f>
        <v>1.79050983471074</v>
      </c>
      <c r="F6" s="9" t="n">
        <f aca="false">MAX(Аналоги_CF!$F$5:$F$9)</f>
        <v>2.09879012195122</v>
      </c>
      <c r="G6" s="5" t="s">
        <v>18</v>
      </c>
      <c r="H6" s="8" t="s">
        <v>19</v>
      </c>
    </row>
    <row r="7" customFormat="false" ht="25.35" hidden="false" customHeight="false" outlineLevel="0" collapsed="false">
      <c r="A7" s="4" t="s">
        <v>20</v>
      </c>
      <c r="B7" s="5" t="s">
        <v>21</v>
      </c>
      <c r="C7" s="5" t="s">
        <v>17</v>
      </c>
      <c r="D7" s="9" t="n">
        <f aca="false">MEDIAN(Аналоги_CF!$G$5:$G$9)</f>
        <v>1.12536737024221</v>
      </c>
      <c r="E7" s="9" t="n">
        <f aca="false">MIN(Аналоги_CF!$G$5:$G$9)</f>
        <v>1.0117317768595</v>
      </c>
      <c r="F7" s="9" t="n">
        <f aca="false">MAX(Аналоги_CF!$G$5:$G$9)</f>
        <v>1.32127971544715</v>
      </c>
      <c r="G7" s="5" t="s">
        <v>18</v>
      </c>
      <c r="H7" s="8" t="s">
        <v>22</v>
      </c>
    </row>
    <row r="8" customFormat="false" ht="15" hidden="false" customHeight="false" outlineLevel="0" collapsed="false">
      <c r="A8" s="4" t="s">
        <v>23</v>
      </c>
      <c r="B8" s="5" t="s">
        <v>24</v>
      </c>
      <c r="C8" s="5" t="s">
        <v>12</v>
      </c>
      <c r="D8" s="6" t="n">
        <v>1200</v>
      </c>
      <c r="E8" s="7" t="n">
        <v>1000</v>
      </c>
      <c r="F8" s="7" t="n">
        <v>1400</v>
      </c>
      <c r="G8" s="5" t="s">
        <v>13</v>
      </c>
      <c r="H8" s="8" t="s">
        <v>25</v>
      </c>
    </row>
    <row r="9" customFormat="false" ht="15" hidden="false" customHeight="false" outlineLevel="0" collapsed="false">
      <c r="A9" s="4" t="s">
        <v>26</v>
      </c>
      <c r="B9" s="5" t="s">
        <v>27</v>
      </c>
      <c r="C9" s="5" t="s">
        <v>17</v>
      </c>
      <c r="D9" s="7" t="n">
        <v>0.7875</v>
      </c>
      <c r="E9" s="7"/>
      <c r="F9" s="7"/>
      <c r="G9" s="5" t="s">
        <v>28</v>
      </c>
      <c r="H9" s="8" t="s">
        <v>29</v>
      </c>
    </row>
    <row r="10" customFormat="false" ht="15" hidden="false" customHeight="false" outlineLevel="0" collapsed="false">
      <c r="A10" s="4" t="s">
        <v>30</v>
      </c>
      <c r="B10" s="5" t="s">
        <v>31</v>
      </c>
      <c r="C10" s="5" t="s">
        <v>32</v>
      </c>
      <c r="D10" s="7" t="n">
        <v>8.5</v>
      </c>
      <c r="E10" s="7" t="n">
        <v>8</v>
      </c>
      <c r="F10" s="7" t="n">
        <v>9</v>
      </c>
      <c r="G10" s="5" t="s">
        <v>18</v>
      </c>
      <c r="H10" s="8" t="s">
        <v>33</v>
      </c>
    </row>
    <row r="11" customFormat="false" ht="15" hidden="false" customHeight="false" outlineLevel="0" collapsed="false">
      <c r="A11" s="4" t="s">
        <v>34</v>
      </c>
      <c r="B11" s="5" t="s">
        <v>35</v>
      </c>
      <c r="C11" s="5" t="s">
        <v>28</v>
      </c>
      <c r="D11" s="9" t="n">
        <f aca="false">MEDIAN(Панель_EPA!$L$4:$L$40)</f>
        <v>0.372986584665671</v>
      </c>
      <c r="E11" s="9" t="n">
        <f aca="false">QUARTILE(Панель_EPA!$L$4:$L$40,1)</f>
        <v>0.178395965277769</v>
      </c>
      <c r="F11" s="9" t="n">
        <f aca="false">QUARTILE(Панель_EPA!$L$4:$L$40,3)</f>
        <v>0.702593420258305</v>
      </c>
      <c r="G11" s="5" t="s">
        <v>18</v>
      </c>
      <c r="H11" s="8" t="s">
        <v>36</v>
      </c>
    </row>
    <row r="12" customFormat="false" ht="15" hidden="false" customHeight="false" outlineLevel="0" collapsed="false">
      <c r="A12" s="4" t="s">
        <v>37</v>
      </c>
      <c r="B12" s="5" t="s">
        <v>38</v>
      </c>
      <c r="C12" s="5" t="s">
        <v>28</v>
      </c>
      <c r="D12" s="7" t="n">
        <v>298</v>
      </c>
      <c r="E12" s="7"/>
      <c r="F12" s="7"/>
      <c r="G12" s="5" t="s">
        <v>28</v>
      </c>
      <c r="H12" s="8" t="s">
        <v>39</v>
      </c>
    </row>
    <row r="13" customFormat="false" ht="15" hidden="false" customHeight="false" outlineLevel="0" collapsed="false">
      <c r="A13" s="4" t="s">
        <v>40</v>
      </c>
      <c r="B13" s="5" t="s">
        <v>41</v>
      </c>
      <c r="C13" s="5" t="s">
        <v>12</v>
      </c>
      <c r="D13" s="6" t="n">
        <v>500</v>
      </c>
      <c r="E13" s="7" t="n">
        <v>300</v>
      </c>
      <c r="F13" s="7" t="n">
        <v>700</v>
      </c>
      <c r="G13" s="5" t="s">
        <v>13</v>
      </c>
      <c r="H13" s="8" t="s">
        <v>42</v>
      </c>
    </row>
    <row r="14" customFormat="false" ht="15" hidden="false" customHeight="false" outlineLevel="0" collapsed="false">
      <c r="A14" s="4" t="s">
        <v>43</v>
      </c>
      <c r="B14" s="5" t="s">
        <v>44</v>
      </c>
      <c r="C14" s="5" t="s">
        <v>17</v>
      </c>
      <c r="D14" s="7" t="n">
        <v>0.733</v>
      </c>
      <c r="E14" s="7"/>
      <c r="F14" s="7"/>
      <c r="G14" s="5" t="s">
        <v>28</v>
      </c>
      <c r="H14" s="8" t="s">
        <v>45</v>
      </c>
    </row>
    <row r="15" customFormat="false" ht="15" hidden="false" customHeight="false" outlineLevel="0" collapsed="false">
      <c r="A15" s="4" t="s">
        <v>46</v>
      </c>
      <c r="B15" s="5" t="s">
        <v>47</v>
      </c>
      <c r="C15" s="5" t="s">
        <v>12</v>
      </c>
      <c r="D15" s="6" t="n">
        <v>32</v>
      </c>
      <c r="E15" s="7"/>
      <c r="F15" s="7"/>
      <c r="G15" s="5" t="s">
        <v>13</v>
      </c>
      <c r="H15" s="8" t="s">
        <v>48</v>
      </c>
    </row>
    <row r="16" customFormat="false" ht="15" hidden="false" customHeight="false" outlineLevel="0" collapsed="false">
      <c r="A16" s="4" t="s">
        <v>49</v>
      </c>
      <c r="B16" s="5" t="s">
        <v>50</v>
      </c>
      <c r="C16" s="5" t="s">
        <v>51</v>
      </c>
      <c r="D16" s="6" t="n">
        <v>0</v>
      </c>
      <c r="E16" s="7" t="n">
        <v>0</v>
      </c>
      <c r="F16" s="7" t="n">
        <v>60</v>
      </c>
      <c r="G16" s="5" t="s">
        <v>13</v>
      </c>
      <c r="H16" s="8" t="s">
        <v>52</v>
      </c>
    </row>
    <row r="17" customFormat="false" ht="25.35" hidden="false" customHeight="false" outlineLevel="0" collapsed="false">
      <c r="A17" s="4" t="s">
        <v>53</v>
      </c>
      <c r="B17" s="5" t="s">
        <v>54</v>
      </c>
      <c r="C17" s="5" t="s">
        <v>51</v>
      </c>
      <c r="D17" s="6" t="n">
        <v>0</v>
      </c>
      <c r="E17" s="7" t="n">
        <v>0</v>
      </c>
      <c r="F17" s="7" t="n">
        <v>60</v>
      </c>
      <c r="G17" s="5" t="s">
        <v>13</v>
      </c>
      <c r="H17" s="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10" min="8" style="0" width="14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37.3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</row>
    <row r="5" customFormat="false" ht="15" hidden="false" customHeight="false" outlineLevel="0" collapsed="false">
      <c r="A5" s="5" t="s">
        <v>68</v>
      </c>
      <c r="B5" s="5" t="n">
        <v>1002301</v>
      </c>
      <c r="C5" s="10" t="n">
        <v>4335</v>
      </c>
      <c r="D5" s="10" t="n">
        <v>7752761.9</v>
      </c>
      <c r="E5" s="10" t="n">
        <v>4862676.5</v>
      </c>
      <c r="F5" s="9" t="n">
        <f aca="false">AVERAGE(D5,I5)/1000/C5</f>
        <v>1.79702005767013</v>
      </c>
      <c r="G5" s="9" t="n">
        <f aca="false">AVERAGE(E5,J5)/1000/C5</f>
        <v>1.12536737024221</v>
      </c>
      <c r="H5" s="11" t="n">
        <f aca="false">Параметры!$D$5/C5</f>
        <v>0.267589388696655</v>
      </c>
      <c r="I5" s="10" t="n">
        <v>7827402</v>
      </c>
      <c r="J5" s="10" t="n">
        <v>4894258.6</v>
      </c>
    </row>
    <row r="6" customFormat="false" ht="15" hidden="false" customHeight="false" outlineLevel="0" collapsed="false">
      <c r="A6" s="5" t="s">
        <v>69</v>
      </c>
      <c r="B6" s="5" t="n">
        <v>1006005</v>
      </c>
      <c r="C6" s="10" t="n">
        <v>1230</v>
      </c>
      <c r="D6" s="10" t="n">
        <v>2599267.7</v>
      </c>
      <c r="E6" s="10" t="n">
        <v>1624172.7</v>
      </c>
      <c r="F6" s="9" t="n">
        <f aca="false">AVERAGE(D6,I6)/1000/C6</f>
        <v>2.09879012195122</v>
      </c>
      <c r="G6" s="9" t="n">
        <f aca="false">AVERAGE(E6,J6)/1000/C6</f>
        <v>1.32127971544715</v>
      </c>
      <c r="H6" s="11" t="n">
        <f aca="false">Параметры!$D$5/C6</f>
        <v>0.943089430894309</v>
      </c>
      <c r="I6" s="10" t="n">
        <v>2563756</v>
      </c>
      <c r="J6" s="10" t="n">
        <v>1626175.4</v>
      </c>
    </row>
    <row r="7" customFormat="false" ht="15" hidden="false" customHeight="false" outlineLevel="0" collapsed="false">
      <c r="A7" s="5" t="s">
        <v>70</v>
      </c>
      <c r="B7" s="5" t="n">
        <v>1002275</v>
      </c>
      <c r="C7" s="10" t="n">
        <v>1210</v>
      </c>
      <c r="D7" s="10" t="n">
        <v>2106706.9</v>
      </c>
      <c r="E7" s="10" t="n">
        <v>1176114</v>
      </c>
      <c r="F7" s="9" t="n">
        <f aca="false">AVERAGE(D7,I7)/1000/C7</f>
        <v>1.79050983471074</v>
      </c>
      <c r="G7" s="9" t="n">
        <f aca="false">AVERAGE(E7,J7)/1000/C7</f>
        <v>1.0117317768595</v>
      </c>
      <c r="H7" s="11" t="n">
        <f aca="false">Параметры!$D$5/C7</f>
        <v>0.958677685950413</v>
      </c>
      <c r="I7" s="10" t="n">
        <v>2226326.9</v>
      </c>
      <c r="J7" s="10" t="n">
        <v>1272276.9</v>
      </c>
    </row>
    <row r="8" customFormat="false" ht="15" hidden="false" customHeight="false" outlineLevel="0" collapsed="false">
      <c r="A8" s="5" t="s">
        <v>71</v>
      </c>
      <c r="B8" s="5" t="n">
        <v>1005788</v>
      </c>
      <c r="C8" s="10" t="n">
        <v>480</v>
      </c>
      <c r="D8" s="10" t="n">
        <v>861840.5</v>
      </c>
      <c r="E8" s="10" t="n">
        <v>509521.6</v>
      </c>
      <c r="F8" s="9" t="n">
        <f aca="false">AVERAGE(D8,I8)/1000/C8</f>
        <v>1.87939458333333</v>
      </c>
      <c r="G8" s="9" t="n">
        <f aca="false">AVERAGE(E8,J8)/1000/C8</f>
        <v>1.10508166666667</v>
      </c>
      <c r="H8" s="11" t="n">
        <f aca="false">Параметры!$D$5/C8</f>
        <v>2.41666666666667</v>
      </c>
      <c r="I8" s="10" t="n">
        <v>942378.3</v>
      </c>
      <c r="J8" s="10" t="n">
        <v>551356.8</v>
      </c>
    </row>
    <row r="9" customFormat="false" ht="15" hidden="false" customHeight="false" outlineLevel="0" collapsed="false">
      <c r="A9" s="5" t="s">
        <v>72</v>
      </c>
      <c r="B9" s="5" t="n">
        <v>1004183</v>
      </c>
      <c r="C9" s="10" t="n">
        <v>570</v>
      </c>
      <c r="D9" s="10" t="n">
        <v>1135406.3</v>
      </c>
      <c r="E9" s="10" t="n">
        <v>708631.5</v>
      </c>
      <c r="F9" s="9" t="n">
        <f aca="false">AVERAGE(D9,I9)/1000/C9</f>
        <v>1.98811903508772</v>
      </c>
      <c r="G9" s="9" t="n">
        <f aca="false">AVERAGE(E9,J9)/1000/C9</f>
        <v>1.19727614035088</v>
      </c>
      <c r="H9" s="11" t="n">
        <f aca="false">Параметры!$D$5/C9</f>
        <v>2.03508771929825</v>
      </c>
      <c r="I9" s="10" t="n">
        <v>1131049.4</v>
      </c>
      <c r="J9" s="10" t="n">
        <v>656263.3</v>
      </c>
    </row>
    <row r="11" customFormat="false" ht="15" hidden="false" customHeight="false" outlineLevel="0" collapsed="false">
      <c r="A11" s="2" t="s">
        <v>73</v>
      </c>
    </row>
    <row r="12" customFormat="false" ht="15" hidden="false" customHeight="false" outlineLevel="0" collapsed="false">
      <c r="A12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10" min="3" style="0" width="12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3" customFormat="false" ht="37.3" hidden="false" customHeight="false" outlineLevel="0" collapsed="false">
      <c r="A3" s="3" t="s">
        <v>58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3" t="s">
        <v>86</v>
      </c>
    </row>
    <row r="4" customFormat="false" ht="15" hidden="false" customHeight="false" outlineLevel="0" collapsed="false">
      <c r="A4" s="5" t="s">
        <v>87</v>
      </c>
      <c r="B4" s="5" t="n">
        <v>1002170</v>
      </c>
      <c r="C4" s="10" t="n">
        <v>1289892.7</v>
      </c>
      <c r="D4" s="10" t="n">
        <v>1209792.5</v>
      </c>
      <c r="E4" s="10" t="n">
        <v>1426458.4</v>
      </c>
      <c r="F4" s="10" t="n">
        <v>1402799.5</v>
      </c>
      <c r="G4" s="10" t="n">
        <v>1378252.3</v>
      </c>
      <c r="H4" s="10" t="n">
        <v>1126826.9</v>
      </c>
      <c r="I4" s="10" t="n">
        <v>1352802.2</v>
      </c>
      <c r="J4" s="12" t="n">
        <v>803.753</v>
      </c>
      <c r="L4" s="9" t="n">
        <f aca="false">IF(J4&gt;1,J4*Параметры!$D$12/I4,"")</f>
        <v>0.177053521941345</v>
      </c>
    </row>
    <row r="5" customFormat="false" ht="15" hidden="false" customHeight="false" outlineLevel="0" collapsed="false">
      <c r="A5" s="5" t="s">
        <v>88</v>
      </c>
      <c r="B5" s="5" t="n">
        <v>1002229</v>
      </c>
      <c r="C5" s="10" t="n">
        <v>766476.3</v>
      </c>
      <c r="D5" s="10" t="n">
        <v>803444.1</v>
      </c>
      <c r="E5" s="10" t="n">
        <v>817001.4</v>
      </c>
      <c r="F5" s="10" t="n">
        <v>741786.6</v>
      </c>
      <c r="G5" s="10" t="n">
        <v>931331.6</v>
      </c>
      <c r="H5" s="10" t="n">
        <v>897363.9</v>
      </c>
      <c r="I5" s="10" t="n">
        <v>872546.4</v>
      </c>
      <c r="J5" s="12" t="n">
        <v>0.501</v>
      </c>
      <c r="L5" s="9" t="str">
        <f aca="false">IF(J5&gt;1,J5*Параметры!$D$12/I5,"")</f>
        <v/>
      </c>
    </row>
    <row r="6" customFormat="false" ht="15" hidden="false" customHeight="false" outlineLevel="0" collapsed="false">
      <c r="A6" s="5" t="s">
        <v>89</v>
      </c>
      <c r="B6" s="5" t="n">
        <v>1002275</v>
      </c>
      <c r="C6" s="10" t="n">
        <v>1314048.5</v>
      </c>
      <c r="D6" s="10" t="n">
        <v>1259232.1</v>
      </c>
      <c r="E6" s="10" t="n">
        <v>1185805.7</v>
      </c>
      <c r="F6" s="10" t="n">
        <v>1306784.9</v>
      </c>
      <c r="G6" s="10" t="n">
        <v>1146954</v>
      </c>
      <c r="H6" s="10" t="n">
        <v>1272276.9</v>
      </c>
      <c r="I6" s="10" t="n">
        <v>1176114</v>
      </c>
      <c r="J6" s="12" t="n">
        <v>4184.545</v>
      </c>
      <c r="L6" s="9" t="n">
        <f aca="false">IF(J6&gt;1,J6*Параметры!$D$12/I6,"")</f>
        <v>1.0602666153111</v>
      </c>
    </row>
    <row r="7" customFormat="false" ht="15" hidden="false" customHeight="false" outlineLevel="0" collapsed="false">
      <c r="A7" s="5" t="s">
        <v>90</v>
      </c>
      <c r="B7" s="5" t="n">
        <v>1002301</v>
      </c>
      <c r="C7" s="10" t="n">
        <v>4850956.3</v>
      </c>
      <c r="D7" s="10" t="n">
        <v>4645994.5</v>
      </c>
      <c r="E7" s="10" t="n">
        <v>5000921.4</v>
      </c>
      <c r="F7" s="10" t="n">
        <v>4724629.3</v>
      </c>
      <c r="G7" s="10" t="n">
        <v>4461915.9</v>
      </c>
      <c r="H7" s="10" t="n">
        <v>4894258.6</v>
      </c>
      <c r="I7" s="10" t="n">
        <v>4862676.5</v>
      </c>
      <c r="J7" s="12" t="n">
        <v>5770.118</v>
      </c>
      <c r="L7" s="9" t="n">
        <f aca="false">IF(J7&gt;1,J7*Параметры!$D$12/I7,"")</f>
        <v>0.353610848675621</v>
      </c>
    </row>
    <row r="8" customFormat="false" ht="15" hidden="false" customHeight="false" outlineLevel="0" collapsed="false">
      <c r="A8" s="5" t="s">
        <v>91</v>
      </c>
      <c r="B8" s="5" t="n">
        <v>1002407</v>
      </c>
      <c r="C8" s="10" t="n">
        <v>954782.1</v>
      </c>
      <c r="D8" s="10" t="n">
        <v>1041223.7</v>
      </c>
      <c r="E8" s="10" t="n">
        <v>1285652.8</v>
      </c>
      <c r="F8" s="10" t="n">
        <v>1381943.4</v>
      </c>
      <c r="G8" s="10" t="n">
        <v>1208341.7</v>
      </c>
      <c r="H8" s="10" t="n">
        <v>1293541.3</v>
      </c>
      <c r="I8" s="10" t="n">
        <v>1348509.2</v>
      </c>
      <c r="J8" s="12" t="n">
        <v>0.483</v>
      </c>
      <c r="L8" s="9" t="str">
        <f aca="false">IF(J8&gt;1,J8*Параметры!$D$12/I8,"")</f>
        <v/>
      </c>
    </row>
    <row r="9" customFormat="false" ht="15" hidden="false" customHeight="false" outlineLevel="0" collapsed="false">
      <c r="A9" s="5" t="s">
        <v>92</v>
      </c>
      <c r="B9" s="5" t="n">
        <v>1003489</v>
      </c>
      <c r="C9" s="10" t="n">
        <v>524760.6</v>
      </c>
      <c r="D9" s="10" t="n">
        <v>486970.5</v>
      </c>
      <c r="E9" s="10" t="n">
        <v>602461.6</v>
      </c>
      <c r="F9" s="10" t="n">
        <v>594200.4</v>
      </c>
      <c r="G9" s="10" t="n">
        <v>579506.5</v>
      </c>
      <c r="H9" s="10" t="n">
        <v>655178</v>
      </c>
      <c r="I9" s="10" t="n">
        <v>515726.2</v>
      </c>
      <c r="J9" s="12" t="n">
        <v>2642.044</v>
      </c>
      <c r="L9" s="9" t="n">
        <f aca="false">IF(J9&gt;1,J9*Параметры!$D$12/I9,"")</f>
        <v>1.52664167924763</v>
      </c>
    </row>
    <row r="10" customFormat="false" ht="15" hidden="false" customHeight="false" outlineLevel="0" collapsed="false">
      <c r="A10" s="5" t="s">
        <v>93</v>
      </c>
      <c r="B10" s="5" t="n">
        <v>1003993</v>
      </c>
      <c r="C10" s="10" t="n">
        <v>458816.2</v>
      </c>
      <c r="D10" s="10" t="n">
        <v>501287.8</v>
      </c>
      <c r="E10" s="10" t="n">
        <v>466390.3</v>
      </c>
      <c r="F10" s="10" t="n">
        <v>497381.5</v>
      </c>
      <c r="G10" s="10" t="n">
        <v>487218.3</v>
      </c>
      <c r="H10" s="10" t="n">
        <v>483118.7</v>
      </c>
      <c r="I10" s="10" t="n">
        <v>521423.3</v>
      </c>
      <c r="J10" s="12" t="n">
        <v>312.93</v>
      </c>
      <c r="L10" s="9" t="n">
        <f aca="false">IF(J10&gt;1,J10*Параметры!$D$12/I10,"")</f>
        <v>0.17884344638991</v>
      </c>
    </row>
    <row r="11" customFormat="false" ht="15" hidden="false" customHeight="false" outlineLevel="0" collapsed="false">
      <c r="A11" s="5" t="s">
        <v>94</v>
      </c>
      <c r="B11" s="5" t="n">
        <v>1004183</v>
      </c>
      <c r="C11" s="10" t="n">
        <v>638808.2</v>
      </c>
      <c r="D11" s="10" t="n">
        <v>637681.1</v>
      </c>
      <c r="E11" s="10" t="n">
        <v>623918.4</v>
      </c>
      <c r="F11" s="10" t="n">
        <v>674644.2</v>
      </c>
      <c r="G11" s="10" t="n">
        <v>541249.5</v>
      </c>
      <c r="H11" s="10" t="n">
        <v>656263.3</v>
      </c>
      <c r="I11" s="10" t="n">
        <v>708631.5</v>
      </c>
      <c r="J11" s="12" t="n">
        <v>4355.939</v>
      </c>
      <c r="L11" s="9" t="n">
        <f aca="false">IF(J11&gt;1,J11*Параметры!$D$12/I11,"")</f>
        <v>1.83179808123122</v>
      </c>
    </row>
    <row r="12" customFormat="false" ht="15" hidden="false" customHeight="false" outlineLevel="0" collapsed="false">
      <c r="A12" s="5" t="s">
        <v>95</v>
      </c>
      <c r="B12" s="5" t="n">
        <v>1004340</v>
      </c>
      <c r="C12" s="10" t="n">
        <v>873380.1</v>
      </c>
      <c r="D12" s="10" t="n">
        <v>1042653.4</v>
      </c>
      <c r="E12" s="10" t="n">
        <v>1015785</v>
      </c>
      <c r="F12" s="10" t="n">
        <v>970581.7</v>
      </c>
      <c r="G12" s="10" t="n">
        <v>1033658</v>
      </c>
      <c r="H12" s="10" t="n">
        <v>902857.3</v>
      </c>
      <c r="I12" s="10" t="n">
        <v>1126460.7</v>
      </c>
      <c r="J12" s="12" t="n">
        <v>195.488</v>
      </c>
      <c r="L12" s="9" t="n">
        <f aca="false">IF(J12&gt;1,J12*Параметры!$D$12/I12,"")</f>
        <v>0.0517154517685349</v>
      </c>
    </row>
    <row r="13" customFormat="false" ht="15" hidden="false" customHeight="false" outlineLevel="0" collapsed="false">
      <c r="A13" s="5" t="s">
        <v>96</v>
      </c>
      <c r="B13" s="5" t="n">
        <v>1005502</v>
      </c>
      <c r="C13" s="10" t="n">
        <v>399923.9</v>
      </c>
      <c r="D13" s="10" t="n">
        <v>414103.8</v>
      </c>
      <c r="E13" s="10" t="n">
        <v>357115</v>
      </c>
      <c r="F13" s="10" t="n">
        <v>455518.9</v>
      </c>
      <c r="G13" s="10" t="n">
        <v>436217</v>
      </c>
      <c r="H13" s="10" t="n">
        <v>368048</v>
      </c>
      <c r="I13" s="10" t="n">
        <v>457458.9</v>
      </c>
      <c r="J13" s="12" t="n">
        <v>234.34</v>
      </c>
      <c r="L13" s="9" t="n">
        <f aca="false">IF(J13&gt;1,J13*Параметры!$D$12/I13,"")</f>
        <v>0.152654850523184</v>
      </c>
    </row>
    <row r="14" customFormat="false" ht="15" hidden="false" customHeight="false" outlineLevel="0" collapsed="false">
      <c r="A14" s="5" t="s">
        <v>97</v>
      </c>
      <c r="B14" s="5" t="n">
        <v>1005788</v>
      </c>
      <c r="C14" s="10" t="n">
        <v>476676.4</v>
      </c>
      <c r="D14" s="10" t="n">
        <v>532282.9</v>
      </c>
      <c r="E14" s="10" t="n">
        <v>475800.5</v>
      </c>
      <c r="F14" s="10" t="n">
        <v>584415.7</v>
      </c>
      <c r="G14" s="10" t="n">
        <v>522816.4</v>
      </c>
      <c r="H14" s="10" t="n">
        <v>551356.8</v>
      </c>
      <c r="I14" s="10" t="n">
        <v>509521.6</v>
      </c>
      <c r="J14" s="12" t="n">
        <v>1101.662</v>
      </c>
      <c r="L14" s="9" t="n">
        <f aca="false">IF(J14&gt;1,J14*Параметры!$D$12/I14,"")</f>
        <v>0.644320625465142</v>
      </c>
    </row>
    <row r="15" customFormat="false" ht="15" hidden="false" customHeight="false" outlineLevel="0" collapsed="false">
      <c r="A15" s="5" t="s">
        <v>98</v>
      </c>
      <c r="B15" s="5" t="n">
        <v>1005867</v>
      </c>
      <c r="C15" s="10" t="n">
        <v>179345.1</v>
      </c>
      <c r="D15" s="10" t="n">
        <v>220014.9</v>
      </c>
      <c r="E15" s="10" t="n">
        <v>187119.9</v>
      </c>
      <c r="F15" s="10" t="n">
        <v>232171.7</v>
      </c>
      <c r="G15" s="10" t="n">
        <v>200914.5</v>
      </c>
      <c r="H15" s="10" t="n">
        <v>201649</v>
      </c>
      <c r="I15" s="10" t="n">
        <v>240926.1</v>
      </c>
      <c r="J15" s="12" t="n">
        <v>264.55</v>
      </c>
      <c r="L15" s="9" t="n">
        <f aca="false">IF(J15&gt;1,J15*Параметры!$D$12/I15,"")</f>
        <v>0.327220255505734</v>
      </c>
    </row>
    <row r="16" customFormat="false" ht="15" hidden="false" customHeight="false" outlineLevel="0" collapsed="false">
      <c r="A16" s="5" t="s">
        <v>99</v>
      </c>
      <c r="B16" s="5" t="n">
        <v>1005924</v>
      </c>
      <c r="C16" s="10" t="n">
        <v>193721.5</v>
      </c>
      <c r="D16" s="10" t="n">
        <v>226771.1</v>
      </c>
      <c r="E16" s="10" t="n">
        <v>221954.3</v>
      </c>
      <c r="F16" s="10" t="n">
        <v>215678.7</v>
      </c>
      <c r="G16" s="10" t="n">
        <v>217094</v>
      </c>
      <c r="H16" s="10" t="n">
        <v>214206.8</v>
      </c>
      <c r="I16" s="10" t="n">
        <v>170040</v>
      </c>
      <c r="J16" s="12" t="n">
        <v>218.069</v>
      </c>
      <c r="L16" s="9" t="n">
        <f aca="false">IF(J16&gt;1,J16*Параметры!$D$12/I16,"")</f>
        <v>0.382172206539638</v>
      </c>
    </row>
    <row r="17" customFormat="false" ht="15" hidden="false" customHeight="false" outlineLevel="0" collapsed="false">
      <c r="A17" s="5" t="s">
        <v>100</v>
      </c>
      <c r="B17" s="5" t="n">
        <v>1006005</v>
      </c>
      <c r="C17" s="10" t="n">
        <v>1510031.9</v>
      </c>
      <c r="D17" s="10" t="n">
        <v>1610563.2</v>
      </c>
      <c r="E17" s="10" t="n">
        <v>1548506.1</v>
      </c>
      <c r="F17" s="10" t="n">
        <v>1566916.4</v>
      </c>
      <c r="G17" s="10" t="n">
        <v>1382222.4</v>
      </c>
      <c r="H17" s="10" t="n">
        <v>1626175.4</v>
      </c>
      <c r="I17" s="10" t="n">
        <v>1624172.7</v>
      </c>
      <c r="J17" s="12" t="n">
        <v>1982.804</v>
      </c>
      <c r="L17" s="9" t="n">
        <f aca="false">IF(J17&gt;1,J17*Параметры!$D$12/I17,"")</f>
        <v>0.363800962791703</v>
      </c>
    </row>
    <row r="18" customFormat="false" ht="15" hidden="false" customHeight="false" outlineLevel="0" collapsed="false">
      <c r="A18" s="5" t="s">
        <v>101</v>
      </c>
      <c r="B18" s="5" t="n">
        <v>1006037</v>
      </c>
      <c r="C18" s="10" t="n">
        <v>300211.9</v>
      </c>
      <c r="D18" s="10" t="n">
        <v>309151.9</v>
      </c>
      <c r="E18" s="10" t="n">
        <v>274870.9</v>
      </c>
      <c r="F18" s="10" t="n">
        <v>321376</v>
      </c>
      <c r="G18" s="10" t="n">
        <v>311812.4</v>
      </c>
      <c r="H18" s="10" t="n">
        <v>328877</v>
      </c>
      <c r="I18" s="10" t="n">
        <v>294979.8</v>
      </c>
      <c r="J18" s="12" t="n">
        <v>19.254</v>
      </c>
      <c r="L18" s="9" t="n">
        <f aca="false">IF(J18&gt;1,J18*Параметры!$D$12/I18,"")</f>
        <v>0.019451135298078</v>
      </c>
    </row>
    <row r="19" customFormat="false" ht="15" hidden="false" customHeight="false" outlineLevel="0" collapsed="false">
      <c r="A19" s="5" t="s">
        <v>102</v>
      </c>
      <c r="B19" s="5" t="n">
        <v>1006575</v>
      </c>
      <c r="C19" s="10" t="n">
        <v>369221.4</v>
      </c>
      <c r="D19" s="10" t="n">
        <v>350623.8</v>
      </c>
      <c r="E19" s="10" t="n">
        <v>392648.6</v>
      </c>
      <c r="F19" s="10" t="n">
        <v>386646.1</v>
      </c>
      <c r="G19" s="10" t="n">
        <v>332814.1</v>
      </c>
      <c r="H19" s="10" t="n">
        <v>389667.5</v>
      </c>
      <c r="I19" s="10" t="n">
        <v>378998.3</v>
      </c>
      <c r="J19" s="12" t="n">
        <v>647.82</v>
      </c>
      <c r="L19" s="9" t="n">
        <f aca="false">IF(J19&gt;1,J19*Параметры!$D$12/I19,"")</f>
        <v>0.509369989258527</v>
      </c>
    </row>
    <row r="20" customFormat="false" ht="15" hidden="false" customHeight="false" outlineLevel="0" collapsed="false">
      <c r="A20" s="5" t="s">
        <v>103</v>
      </c>
      <c r="B20" s="5" t="n">
        <v>1007046</v>
      </c>
      <c r="C20" s="10" t="n">
        <v>395816.6</v>
      </c>
      <c r="D20" s="10" t="n">
        <v>429497.2</v>
      </c>
      <c r="E20" s="10" t="n">
        <v>369404</v>
      </c>
      <c r="F20" s="10" t="n">
        <v>436475.7</v>
      </c>
      <c r="G20" s="10" t="n">
        <v>404878.9</v>
      </c>
      <c r="H20" s="10" t="n">
        <v>349892.9</v>
      </c>
      <c r="I20" s="10" t="n">
        <v>468399.6</v>
      </c>
      <c r="J20" s="12" t="n">
        <v>899.592</v>
      </c>
      <c r="L20" s="9" t="n">
        <f aca="false">IF(J20&gt;1,J20*Параметры!$D$12/I20,"")</f>
        <v>0.572328447761271</v>
      </c>
    </row>
    <row r="21" customFormat="false" ht="15" hidden="false" customHeight="false" outlineLevel="0" collapsed="false">
      <c r="A21" s="5" t="s">
        <v>104</v>
      </c>
      <c r="B21" s="5" t="n">
        <v>1007770</v>
      </c>
      <c r="C21" s="10" t="n">
        <v>201375.6</v>
      </c>
      <c r="D21" s="10" t="n">
        <v>162701.6</v>
      </c>
      <c r="E21" s="10" t="n">
        <v>192606</v>
      </c>
      <c r="F21" s="10" t="n">
        <v>205894.3</v>
      </c>
      <c r="G21" s="10" t="n">
        <v>179240.1</v>
      </c>
      <c r="H21" s="10" t="n">
        <v>182345.6</v>
      </c>
      <c r="I21" s="10" t="n">
        <v>193859.4</v>
      </c>
      <c r="J21" s="12" t="n">
        <v>570.787</v>
      </c>
      <c r="L21" s="9" t="n">
        <f aca="false">IF(J21&gt;1,J21*Параметры!$D$12/I21,"")</f>
        <v>0.877411804637794</v>
      </c>
    </row>
    <row r="23" customFormat="false" ht="15" hidden="false" customHeight="false" outlineLevel="0" collapsed="false">
      <c r="A23" s="4" t="s">
        <v>105</v>
      </c>
    </row>
    <row r="24" customFormat="false" ht="15" hidden="false" customHeight="false" outlineLevel="0" collapsed="false">
      <c r="A24" s="0" t="s">
        <v>106</v>
      </c>
      <c r="C24" s="9" t="n">
        <f aca="false">MEDIAN(C4/C4,C5/C5,C6/C6,C7/C7,C8/C8,C9/C9,C10/C10,C11/C11,C12/C12,C13/C13,C14/C14,C15/C15,C16/C16,C17/C17,C18/C18,C19/C19,C20/C20,C21/C21)</f>
        <v>1</v>
      </c>
      <c r="D24" s="9" t="n">
        <f aca="false">MEDIAN(D4/C4,D5/C5,D6/C6,D7/C7,D8/C8,D9/C9,D10/C10,D11/C11,D12/C12,D13/C13,D14/C14,D15/C15,D16/C16,D17/C17,D18/C18,D19/C19,D20/C20,D21/C21)</f>
        <v>1.04184367054607</v>
      </c>
      <c r="E24" s="9" t="n">
        <f aca="false">MEDIAN(E4/C4,E5/C5,E6/C6,E7/C7,E8/C8,E9/C9,E10/C10,E11/C11,E12/C12,E13/C13,E14/C14,E15/C15,E16/C16,E17/C17,E18/C18,E19/C19,E20/C20,E21/C21)</f>
        <v>1.02819680398742</v>
      </c>
      <c r="F24" s="9" t="n">
        <f aca="false">MEDIAN(F4/C4,F5/C5,F6/C6,F7/C7,F8/C8,F9/C9,F10/C10,F11/C11,F12/C12,F13/C13,F14/C14,F15/C15,F16/C16,F17/C17,F18/C18,F19/C19,F20/C20,F21/C21)</f>
        <v>1.08579292577509</v>
      </c>
      <c r="G24" s="9" t="n">
        <f aca="false">MEDIAN(G4/C4,G5/C5,G6/C6,G7/C7,G8/C8,G9/C9,G10/C10,G11/C11,G12/C12,G13/C13,G14/C14,G15/C15,G16/C16,G17/C17,G18/C18,G19/C19,G20/C20,G21/C21)</f>
        <v>1.06520225673685</v>
      </c>
      <c r="H24" s="9" t="n">
        <f aca="false">MEDIAN(H4/C4,H5/C5,H6/C6,H7/C7,H8/C8,H9/C9,H10/C10,H11/C11,H12/C12,H13/C13,H14/C14,H15/C15,H16/C16,H17/C17,H18/C18,H19/C19,H20/C20,H21/C21)</f>
        <v>1.05417204632296</v>
      </c>
      <c r="I24" s="9" t="n">
        <f aca="false">MEDIAN(I4/C4,I5/C5,I6/C6,I7/C7,I8/C8,I9/C9,I10/C10,I11/C11,I12/C12,I13/C13,I14/C14,I15/C15,I16/C16,I17/C17,I18/C18,I19/C19,I20/C20,I21/C21)</f>
        <v>1.07224647194575</v>
      </c>
    </row>
    <row r="25" customFormat="false" ht="15" hidden="false" customHeight="false" outlineLevel="0" collapsed="false">
      <c r="A25" s="4" t="s">
        <v>107</v>
      </c>
      <c r="C25" s="13" t="n">
        <v>1</v>
      </c>
      <c r="D25" s="13" t="n">
        <v>1.03335925191696</v>
      </c>
      <c r="E25" s="13" t="n">
        <v>1.0350457908505</v>
      </c>
      <c r="F25" s="13" t="n">
        <v>1.10056028847501</v>
      </c>
      <c r="G25" s="13" t="n">
        <v>1.03375954162069</v>
      </c>
      <c r="H25" s="13" t="n">
        <v>1.05204771679741</v>
      </c>
      <c r="I25" s="13" t="n">
        <v>1.0845126578842</v>
      </c>
    </row>
    <row r="26" customFormat="false" ht="15" hidden="false" customHeight="false" outlineLevel="0" collapsed="false">
      <c r="A26" s="5" t="s">
        <v>108</v>
      </c>
      <c r="C26" s="13" t="n">
        <v>1</v>
      </c>
      <c r="D26" s="13" t="n">
        <v>0.987745676684454</v>
      </c>
      <c r="E26" s="13" t="n">
        <v>0.98946592746531</v>
      </c>
      <c r="F26" s="13" t="n">
        <v>1.05602414574904</v>
      </c>
      <c r="G26" s="13" t="n">
        <v>0.976943141162652</v>
      </c>
      <c r="H26" s="13" t="n">
        <v>0.997329343371145</v>
      </c>
      <c r="I26" s="13" t="n">
        <v>1.02652373881658</v>
      </c>
    </row>
    <row r="27" customFormat="false" ht="15" hidden="false" customHeight="false" outlineLevel="0" collapsed="false">
      <c r="A27" s="5" t="s">
        <v>109</v>
      </c>
      <c r="C27" s="13" t="n">
        <v>1</v>
      </c>
      <c r="D27" s="13" t="n">
        <v>1.0781286963541</v>
      </c>
      <c r="E27" s="13" t="n">
        <v>1.08723487422464</v>
      </c>
      <c r="F27" s="13" t="n">
        <v>1.15374215220894</v>
      </c>
      <c r="G27" s="13" t="n">
        <v>1.09022261515793</v>
      </c>
      <c r="H27" s="13" t="n">
        <v>1.10907092711302</v>
      </c>
      <c r="I27" s="13" t="n">
        <v>1.14732512748702</v>
      </c>
    </row>
    <row r="28" customFormat="false" ht="15" hidden="false" customHeight="false" outlineLevel="0" collapsed="false">
      <c r="A28" s="1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111</v>
      </c>
    </row>
    <row r="3" customFormat="false" ht="37.3" hidden="false" customHeight="false" outlineLevel="0" collapsed="false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</row>
    <row r="4" customFormat="false" ht="15" hidden="false" customHeight="false" outlineLevel="0" collapsed="false">
      <c r="A4" s="5" t="s">
        <v>78</v>
      </c>
      <c r="B4" s="15" t="n">
        <f aca="false">Панель_EPA!C25</f>
        <v>1</v>
      </c>
      <c r="C4" s="9" t="n">
        <f aca="false">B4/$B$10</f>
        <v>0.922073147537925</v>
      </c>
      <c r="D4" s="16" t="n">
        <v>17.1</v>
      </c>
      <c r="E4" s="9" t="n">
        <f aca="false">D4/$D$10</f>
        <v>0.991304347826087</v>
      </c>
      <c r="F4" s="8"/>
    </row>
    <row r="5" customFormat="false" ht="15" hidden="false" customHeight="false" outlineLevel="0" collapsed="false">
      <c r="A5" s="5" t="s">
        <v>79</v>
      </c>
      <c r="B5" s="15" t="n">
        <f aca="false">Панель_EPA!D25</f>
        <v>1.03335925191696</v>
      </c>
      <c r="C5" s="9" t="n">
        <f aca="false">B5/$B$10</f>
        <v>0.952832817952502</v>
      </c>
      <c r="D5" s="5"/>
      <c r="E5" s="5"/>
      <c r="F5" s="8" t="s">
        <v>118</v>
      </c>
    </row>
    <row r="6" customFormat="false" ht="15" hidden="false" customHeight="false" outlineLevel="0" collapsed="false">
      <c r="A6" s="5" t="s">
        <v>80</v>
      </c>
      <c r="B6" s="15" t="n">
        <f aca="false">Панель_EPA!E25</f>
        <v>1.0350457908505</v>
      </c>
      <c r="C6" s="9" t="n">
        <f aca="false">B6/$B$10</f>
        <v>0.9543879302154</v>
      </c>
      <c r="D6" s="16" t="n">
        <v>19.2</v>
      </c>
      <c r="E6" s="9" t="n">
        <f aca="false">D6/$D$10</f>
        <v>1.11304347826087</v>
      </c>
      <c r="F6" s="8" t="s">
        <v>119</v>
      </c>
    </row>
    <row r="7" customFormat="false" ht="15" hidden="false" customHeight="false" outlineLevel="0" collapsed="false">
      <c r="A7" s="5" t="s">
        <v>81</v>
      </c>
      <c r="B7" s="15" t="n">
        <f aca="false">Панель_EPA!F25</f>
        <v>1.10056028847501</v>
      </c>
      <c r="C7" s="9" t="n">
        <f aca="false">B7/$B$10</f>
        <v>1.0147970892494</v>
      </c>
      <c r="D7" s="16" t="n">
        <v>19.6</v>
      </c>
      <c r="E7" s="9" t="n">
        <f aca="false">D7/$D$10</f>
        <v>1.13623188405797</v>
      </c>
      <c r="F7" s="8"/>
    </row>
    <row r="8" customFormat="false" ht="15" hidden="false" customHeight="false" outlineLevel="0" collapsed="false">
      <c r="A8" s="5" t="s">
        <v>82</v>
      </c>
      <c r="B8" s="15" t="n">
        <f aca="false">Панель_EPA!G25</f>
        <v>1.03375954162069</v>
      </c>
      <c r="C8" s="9" t="n">
        <f aca="false">B8/$B$10</f>
        <v>0.953201914339549</v>
      </c>
      <c r="D8" s="16" t="n">
        <v>19.9</v>
      </c>
      <c r="E8" s="9" t="n">
        <f aca="false">D8/$D$10</f>
        <v>1.1536231884058</v>
      </c>
      <c r="F8" s="8"/>
    </row>
    <row r="9" customFormat="false" ht="25.35" hidden="false" customHeight="false" outlineLevel="0" collapsed="false">
      <c r="A9" s="5" t="s">
        <v>83</v>
      </c>
      <c r="B9" s="15" t="n">
        <f aca="false">Панель_EPA!H25</f>
        <v>1.05204771679741</v>
      </c>
      <c r="C9" s="9" t="n">
        <f aca="false">B9/$B$10</f>
        <v>0.970064949587479</v>
      </c>
      <c r="D9" s="16" t="n">
        <v>17</v>
      </c>
      <c r="E9" s="9" t="n">
        <f aca="false">D9/$D$10</f>
        <v>0.985507246376812</v>
      </c>
      <c r="F9" s="8" t="s">
        <v>120</v>
      </c>
    </row>
    <row r="10" customFormat="false" ht="15" hidden="false" customHeight="false" outlineLevel="0" collapsed="false">
      <c r="A10" s="5" t="s">
        <v>84</v>
      </c>
      <c r="B10" s="15" t="n">
        <f aca="false">Панель_EPA!I25</f>
        <v>1.0845126578842</v>
      </c>
      <c r="C10" s="9" t="n">
        <f aca="false">B10/$B$10</f>
        <v>1</v>
      </c>
      <c r="D10" s="16" t="n">
        <v>17.25</v>
      </c>
      <c r="E10" s="9" t="n">
        <f aca="false">D10/$D$10</f>
        <v>1</v>
      </c>
      <c r="F10" s="8"/>
    </row>
    <row r="11" customFormat="false" ht="15" hidden="false" customHeight="false" outlineLevel="0" collapsed="false">
      <c r="A11" s="5" t="s">
        <v>121</v>
      </c>
      <c r="B11" s="5"/>
      <c r="C11" s="13" t="n">
        <v>1</v>
      </c>
      <c r="D11" s="16" t="n">
        <v>18.1</v>
      </c>
      <c r="E11" s="9" t="n">
        <f aca="false">D11/$D$10</f>
        <v>1.04927536231884</v>
      </c>
      <c r="F11" s="8" t="s">
        <v>122</v>
      </c>
    </row>
    <row r="12" customFormat="false" ht="15" hidden="false" customHeight="false" outlineLevel="0" collapsed="false">
      <c r="A12" s="5" t="s">
        <v>123</v>
      </c>
      <c r="B12" s="5"/>
      <c r="C12" s="13" t="n">
        <v>1</v>
      </c>
      <c r="D12" s="16" t="n">
        <v>18.6</v>
      </c>
      <c r="E12" s="9" t="n">
        <f aca="false">D12/$D$10</f>
        <v>1.07826086956522</v>
      </c>
      <c r="F12" s="8" t="s">
        <v>124</v>
      </c>
    </row>
    <row r="13" customFormat="false" ht="15" hidden="false" customHeight="false" outlineLevel="0" collapsed="false">
      <c r="A13" s="5" t="s">
        <v>125</v>
      </c>
      <c r="B13" s="5"/>
      <c r="C13" s="13" t="n">
        <v>1</v>
      </c>
      <c r="D13" s="5"/>
      <c r="E13" s="5"/>
      <c r="F13" s="8" t="s">
        <v>126</v>
      </c>
    </row>
    <row r="15" customFormat="false" ht="15" hidden="false" customHeight="false" outlineLevel="0" collapsed="false">
      <c r="A15" s="2" t="s">
        <v>127</v>
      </c>
    </row>
    <row r="16" customFormat="false" ht="15" hidden="false" customHeight="false" outlineLevel="0" collapsed="false">
      <c r="A1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8" min="13" style="0" width="10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61.15" hidden="false" customHeight="false" outlineLevel="0" collapsed="false">
      <c r="A4" s="3" t="s">
        <v>112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138</v>
      </c>
      <c r="J4" s="3" t="s">
        <v>139</v>
      </c>
      <c r="K4" s="3" t="s">
        <v>140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 customFormat="false" ht="15" hidden="false" customHeight="false" outlineLevel="0" collapsed="false">
      <c r="A5" s="5" t="s">
        <v>78</v>
      </c>
      <c r="B5" s="15" t="n">
        <f aca="false">Индекс_динамики!C4</f>
        <v>0.922073147537925</v>
      </c>
      <c r="C5" s="13" t="n">
        <v>1</v>
      </c>
      <c r="D5" s="17" t="n">
        <f aca="false">Параметры!$D$5*Параметры!$D$6*B5*C5</f>
        <v>2010.20956354708</v>
      </c>
      <c r="E5" s="17" t="n">
        <f aca="false">Параметры!$D$13*Параметры!$D$14*B5*C5</f>
        <v>337.939808572649</v>
      </c>
      <c r="F5" s="17" t="n">
        <f aca="false">D5-E5</f>
        <v>1672.26975497443</v>
      </c>
      <c r="G5" s="17" t="n">
        <f aca="false">Параметры!$D$8*Параметры!$D$9*Параметры!$D$10/1000*Параметры!$D$12*B5*C5</f>
        <v>2207.15266216432</v>
      </c>
      <c r="H5" s="17" t="n">
        <f aca="false">Параметры!$D$5*Параметры!$D$7*Параметры!$D$11*B5*C5</f>
        <v>448.963354635328</v>
      </c>
      <c r="I5" s="17" t="n">
        <f aca="false">F5+G5</f>
        <v>3879.42241713874</v>
      </c>
      <c r="J5" s="17" t="n">
        <f aca="false">Параметры!$D$5*Параметры!$D$7*B5*C5</f>
        <v>1203.69839853023</v>
      </c>
      <c r="K5" s="17" t="n">
        <v>0</v>
      </c>
      <c r="L5" s="17" t="n">
        <f aca="false">J5-E5-K5</f>
        <v>865.758589957581</v>
      </c>
      <c r="M5" s="10" t="n">
        <v>1743</v>
      </c>
      <c r="N5" s="10" t="n">
        <v>2461</v>
      </c>
      <c r="O5" s="10" t="n">
        <v>1846</v>
      </c>
      <c r="P5" s="10" t="n">
        <v>2618</v>
      </c>
      <c r="Q5" s="10" t="n">
        <v>1026</v>
      </c>
      <c r="R5" s="10" t="n">
        <v>1494</v>
      </c>
    </row>
    <row r="6" customFormat="false" ht="15" hidden="false" customHeight="false" outlineLevel="0" collapsed="false">
      <c r="A6" s="5" t="s">
        <v>79</v>
      </c>
      <c r="B6" s="15" t="n">
        <f aca="false">Индекс_динамики!C5</f>
        <v>0.952832817952502</v>
      </c>
      <c r="C6" s="13" t="n">
        <v>1</v>
      </c>
      <c r="D6" s="17" t="n">
        <f aca="false">Параметры!$D$5*Параметры!$D$6*B6*C6</f>
        <v>2077.26865078331</v>
      </c>
      <c r="E6" s="17" t="n">
        <f aca="false">Параметры!$D$13*Параметры!$D$14*B6*C6</f>
        <v>349.213227779592</v>
      </c>
      <c r="F6" s="17" t="n">
        <f aca="false">D6-E6</f>
        <v>1728.05542300372</v>
      </c>
      <c r="G6" s="17" t="n">
        <f aca="false">Параметры!$D$8*Параметры!$D$9*Параметры!$D$10/1000*Параметры!$D$12*B6*C6</f>
        <v>2280.78162384063</v>
      </c>
      <c r="H6" s="17" t="n">
        <f aca="false">Параметры!$D$5*Параметры!$D$7*Параметры!$D$11*B6*C6</f>
        <v>463.940436284089</v>
      </c>
      <c r="I6" s="17" t="n">
        <f aca="false">F6+G6</f>
        <v>4008.83704684436</v>
      </c>
      <c r="J6" s="17" t="n">
        <f aca="false">Параметры!$D$5*Параметры!$D$7*B6*C6</f>
        <v>1243.85287663884</v>
      </c>
      <c r="K6" s="17" t="n">
        <f aca="false">Параметры!$D$15/12</f>
        <v>2.66666666666667</v>
      </c>
      <c r="L6" s="17" t="n">
        <f aca="false">J6-E6-K6</f>
        <v>891.972982192577</v>
      </c>
      <c r="M6" s="10" t="n">
        <v>1803</v>
      </c>
      <c r="N6" s="10" t="n">
        <v>2539</v>
      </c>
      <c r="O6" s="10" t="n">
        <v>1908</v>
      </c>
      <c r="P6" s="10" t="n">
        <v>2703</v>
      </c>
      <c r="Q6" s="10" t="n">
        <v>1063</v>
      </c>
      <c r="R6" s="10" t="n">
        <v>1547</v>
      </c>
    </row>
    <row r="7" customFormat="false" ht="15" hidden="false" customHeight="false" outlineLevel="0" collapsed="false">
      <c r="A7" s="5" t="s">
        <v>80</v>
      </c>
      <c r="B7" s="15" t="n">
        <f aca="false">Индекс_динамики!C6</f>
        <v>0.9543879302154</v>
      </c>
      <c r="C7" s="13" t="n">
        <v>1</v>
      </c>
      <c r="D7" s="17" t="n">
        <f aca="false">Параметры!$D$5*Параметры!$D$6*B7*C7</f>
        <v>2080.65894747682</v>
      </c>
      <c r="E7" s="17" t="n">
        <f aca="false">Параметры!$D$13*Параметры!$D$14*B7*C7</f>
        <v>349.783176423944</v>
      </c>
      <c r="F7" s="17" t="n">
        <f aca="false">D7-E7</f>
        <v>1730.87577105288</v>
      </c>
      <c r="G7" s="17" t="n">
        <f aca="false">Параметры!$D$8*Параметры!$D$9*Параметры!$D$10/1000*Параметры!$D$12*B7*C7</f>
        <v>2284.50407273765</v>
      </c>
      <c r="H7" s="17" t="n">
        <f aca="false">Параметры!$D$5*Параметры!$D$7*Параметры!$D$11*B7*C7</f>
        <v>464.697630461416</v>
      </c>
      <c r="I7" s="17" t="n">
        <f aca="false">F7+G7</f>
        <v>4015.37984379053</v>
      </c>
      <c r="J7" s="17" t="n">
        <f aca="false">Параметры!$D$5*Параметры!$D$7*B7*C7</f>
        <v>1245.8829608522</v>
      </c>
      <c r="K7" s="17" t="n">
        <f aca="false">Параметры!$D$15*C7</f>
        <v>32</v>
      </c>
      <c r="L7" s="17" t="n">
        <f aca="false">J7-E7-K7</f>
        <v>864.099784428257</v>
      </c>
      <c r="M7" s="10" t="n">
        <v>1801</v>
      </c>
      <c r="N7" s="10" t="n">
        <v>2545</v>
      </c>
      <c r="O7" s="10" t="n">
        <v>1908</v>
      </c>
      <c r="P7" s="10" t="n">
        <v>2712</v>
      </c>
      <c r="Q7" s="10" t="n">
        <v>1061</v>
      </c>
      <c r="R7" s="10" t="n">
        <v>1547</v>
      </c>
    </row>
    <row r="8" customFormat="false" ht="15" hidden="false" customHeight="false" outlineLevel="0" collapsed="false">
      <c r="A8" s="5" t="s">
        <v>81</v>
      </c>
      <c r="B8" s="15" t="n">
        <f aca="false">Индекс_динамики!C7</f>
        <v>1.0147970892494</v>
      </c>
      <c r="C8" s="13" t="n">
        <v>1</v>
      </c>
      <c r="D8" s="17" t="n">
        <f aca="false">Параметры!$D$5*Параметры!$D$6*B8*C8</f>
        <v>2212.35681715259</v>
      </c>
      <c r="E8" s="17" t="n">
        <f aca="false">Параметры!$D$13*Параметры!$D$14*B8*C8</f>
        <v>371.923133209905</v>
      </c>
      <c r="F8" s="17" t="n">
        <f aca="false">D8-E8</f>
        <v>1840.43368394269</v>
      </c>
      <c r="G8" s="17" t="n">
        <f aca="false">Параметры!$D$8*Параметры!$D$9*Параметры!$D$10/1000*Параметры!$D$12*B8*C8</f>
        <v>2429.10457057995</v>
      </c>
      <c r="H8" s="17" t="n">
        <f aca="false">Параметры!$D$5*Параметры!$D$7*Параметры!$D$11*B8*C8</f>
        <v>494.111239092164</v>
      </c>
      <c r="I8" s="17" t="n">
        <f aca="false">F8+G8</f>
        <v>4269.53825452264</v>
      </c>
      <c r="J8" s="17" t="n">
        <f aca="false">Параметры!$D$5*Параметры!$D$7*B8*C8</f>
        <v>1324.74265672334</v>
      </c>
      <c r="K8" s="17" t="n">
        <f aca="false">Параметры!$D$15*C8</f>
        <v>32</v>
      </c>
      <c r="L8" s="17" t="n">
        <f aca="false">J8-E8-K8</f>
        <v>920.819523513433</v>
      </c>
      <c r="M8" s="10" t="n">
        <v>1923</v>
      </c>
      <c r="N8" s="10" t="n">
        <v>2701</v>
      </c>
      <c r="O8" s="10" t="n">
        <v>2031</v>
      </c>
      <c r="P8" s="10" t="n">
        <v>2869</v>
      </c>
      <c r="Q8" s="10" t="n">
        <v>1132</v>
      </c>
      <c r="R8" s="10" t="n">
        <v>1640</v>
      </c>
    </row>
    <row r="9" customFormat="false" ht="15" hidden="false" customHeight="false" outlineLevel="0" collapsed="false">
      <c r="A9" s="5" t="s">
        <v>82</v>
      </c>
      <c r="B9" s="15" t="n">
        <f aca="false">Индекс_динамики!C8</f>
        <v>0.953201914339549</v>
      </c>
      <c r="C9" s="13" t="n">
        <v>1</v>
      </c>
      <c r="D9" s="17" t="n">
        <f aca="false">Параметры!$D$5*Параметры!$D$6*B9*C9</f>
        <v>2078.07331697395</v>
      </c>
      <c r="E9" s="17" t="n">
        <f aca="false">Параметры!$D$13*Параметры!$D$14*B9*C9</f>
        <v>349.348501605445</v>
      </c>
      <c r="F9" s="17" t="n">
        <f aca="false">D9-E9</f>
        <v>1728.7248153685</v>
      </c>
      <c r="G9" s="17" t="n">
        <f aca="false">Параметры!$D$8*Параметры!$D$9*Параметры!$D$10/1000*Параметры!$D$12*B9*C9</f>
        <v>2281.66512432586</v>
      </c>
      <c r="H9" s="17" t="n">
        <f aca="false">Параметры!$D$5*Параметры!$D$7*Параметры!$D$11*B9*C9</f>
        <v>464.120151692302</v>
      </c>
      <c r="I9" s="17" t="n">
        <f aca="false">F9+G9</f>
        <v>4010.38993969437</v>
      </c>
      <c r="J9" s="17" t="n">
        <f aca="false">Параметры!$D$5*Параметры!$D$7*B9*C9</f>
        <v>1244.33470471417</v>
      </c>
      <c r="K9" s="17" t="n">
        <f aca="false">Параметры!$D$15*C9</f>
        <v>32</v>
      </c>
      <c r="L9" s="17" t="n">
        <f aca="false">J9-E9-K9</f>
        <v>862.986203108721</v>
      </c>
      <c r="M9" s="10" t="n">
        <v>1800</v>
      </c>
      <c r="N9" s="10" t="n">
        <v>2541</v>
      </c>
      <c r="O9" s="10" t="n">
        <v>1906</v>
      </c>
      <c r="P9" s="10" t="n">
        <v>2706</v>
      </c>
      <c r="Q9" s="10" t="n">
        <v>1060</v>
      </c>
      <c r="R9" s="10" t="n">
        <v>1544</v>
      </c>
    </row>
    <row r="10" customFormat="false" ht="15" hidden="false" customHeight="false" outlineLevel="0" collapsed="false">
      <c r="A10" s="5" t="s">
        <v>83</v>
      </c>
      <c r="B10" s="15" t="n">
        <f aca="false">Индекс_динамики!C9</f>
        <v>0.970064949587479</v>
      </c>
      <c r="C10" s="13" t="n">
        <v>1</v>
      </c>
      <c r="D10" s="17" t="n">
        <f aca="false">Параметры!$D$5*Параметры!$D$6*B10*C10</f>
        <v>2114.83638161403</v>
      </c>
      <c r="E10" s="17" t="n">
        <f aca="false">Параметры!$D$13*Параметры!$D$14*B10*C10</f>
        <v>355.528804023811</v>
      </c>
      <c r="F10" s="17" t="n">
        <f aca="false">D10-E10</f>
        <v>1759.30757759022</v>
      </c>
      <c r="G10" s="17" t="n">
        <f aca="false">Параметры!$D$8*Параметры!$D$9*Параметры!$D$10/1000*Параметры!$D$12*B10*C10</f>
        <v>2322.0299188533</v>
      </c>
      <c r="H10" s="17" t="n">
        <f aca="false">Параметры!$D$5*Параметры!$D$7*Параметры!$D$11*B10*C10</f>
        <v>472.330872169804</v>
      </c>
      <c r="I10" s="17" t="n">
        <f aca="false">F10+G10</f>
        <v>4081.33749644352</v>
      </c>
      <c r="J10" s="17" t="n">
        <f aca="false">Параметры!$D$5*Параметры!$D$7*B10*C10</f>
        <v>1266.34815188643</v>
      </c>
      <c r="K10" s="17" t="n">
        <f aca="false">Параметры!$D$15*C10</f>
        <v>32</v>
      </c>
      <c r="L10" s="17" t="n">
        <f aca="false">J10-E10-K10</f>
        <v>878.819347862621</v>
      </c>
      <c r="M10" s="10" t="n">
        <v>1830</v>
      </c>
      <c r="N10" s="10" t="n">
        <v>2600</v>
      </c>
      <c r="O10" s="10" t="n">
        <v>1935</v>
      </c>
      <c r="P10" s="10" t="n">
        <v>2765</v>
      </c>
      <c r="Q10" s="10" t="n">
        <v>1079</v>
      </c>
      <c r="R10" s="10" t="n">
        <v>1579</v>
      </c>
    </row>
    <row r="11" customFormat="false" ht="15" hidden="false" customHeight="false" outlineLevel="0" collapsed="false">
      <c r="A11" s="5" t="s">
        <v>84</v>
      </c>
      <c r="B11" s="15" t="n">
        <f aca="false">Индекс_динамики!C10</f>
        <v>1</v>
      </c>
      <c r="C11" s="13" t="n">
        <v>1</v>
      </c>
      <c r="D11" s="17" t="n">
        <f aca="false">Параметры!$D$5*Параметры!$D$6*B11*C11</f>
        <v>2180.09771666667</v>
      </c>
      <c r="E11" s="17" t="n">
        <f aca="false">Параметры!$D$13*Параметры!$D$14*B11*C11</f>
        <v>366.5</v>
      </c>
      <c r="F11" s="17" t="n">
        <f aca="false">D11-E11</f>
        <v>1813.59771666667</v>
      </c>
      <c r="G11" s="17" t="n">
        <f aca="false">Параметры!$D$8*Параметры!$D$9*Параметры!$D$10/1000*Параметры!$D$12*B11*C11</f>
        <v>2393.685</v>
      </c>
      <c r="H11" s="17" t="n">
        <f aca="false">Параметры!$D$5*Параметры!$D$7*Параметры!$D$11*B11*C11</f>
        <v>486.906441028164</v>
      </c>
      <c r="I11" s="17" t="n">
        <f aca="false">F11+G11</f>
        <v>4207.28271666667</v>
      </c>
      <c r="J11" s="17" t="n">
        <f aca="false">Параметры!$D$5*Параметры!$D$7*B11*C11</f>
        <v>1305.42614948097</v>
      </c>
      <c r="K11" s="17" t="n">
        <f aca="false">Параметры!$D$15*C11</f>
        <v>32</v>
      </c>
      <c r="L11" s="17" t="n">
        <f aca="false">J11-E11-K11</f>
        <v>906.926149480969</v>
      </c>
      <c r="M11" s="10" t="n">
        <v>1899</v>
      </c>
      <c r="N11" s="10" t="n">
        <v>2652</v>
      </c>
      <c r="O11" s="10" t="n">
        <v>2009</v>
      </c>
      <c r="P11" s="10" t="n">
        <v>2819</v>
      </c>
      <c r="Q11" s="10" t="n">
        <v>1122</v>
      </c>
      <c r="R11" s="10" t="n">
        <v>1618</v>
      </c>
    </row>
    <row r="12" customFormat="false" ht="15" hidden="false" customHeight="false" outlineLevel="0" collapsed="false">
      <c r="A12" s="5" t="s">
        <v>121</v>
      </c>
      <c r="B12" s="15" t="n">
        <f aca="false">Индекс_динамики!C11</f>
        <v>1</v>
      </c>
      <c r="C12" s="13" t="n">
        <v>1</v>
      </c>
      <c r="D12" s="17" t="n">
        <f aca="false">Параметры!$D$5*Параметры!$D$6*B12*C12</f>
        <v>2180.09771666667</v>
      </c>
      <c r="E12" s="17" t="n">
        <f aca="false">Параметры!$D$13*Параметры!$D$14*B12*C12</f>
        <v>366.5</v>
      </c>
      <c r="F12" s="17" t="n">
        <f aca="false">D12-E12</f>
        <v>1813.59771666667</v>
      </c>
      <c r="G12" s="17" t="n">
        <f aca="false">Параметры!$D$8*Параметры!$D$9*Параметры!$D$10/1000*Параметры!$D$12*B12*C12</f>
        <v>2393.685</v>
      </c>
      <c r="H12" s="17" t="n">
        <f aca="false">Параметры!$D$5*Параметры!$D$7*Параметры!$D$11*B12*C12</f>
        <v>486.906441028164</v>
      </c>
      <c r="I12" s="17" t="n">
        <f aca="false">F12+G12</f>
        <v>4207.28271666667</v>
      </c>
      <c r="J12" s="17" t="n">
        <f aca="false">Параметры!$D$5*Параметры!$D$7*B12*C12</f>
        <v>1305.42614948097</v>
      </c>
      <c r="K12" s="17" t="n">
        <f aca="false">Параметры!$D$15*C12</f>
        <v>32</v>
      </c>
      <c r="L12" s="17" t="n">
        <f aca="false">J12-E12-K12</f>
        <v>906.926149480969</v>
      </c>
      <c r="M12" s="10" t="n">
        <v>1906</v>
      </c>
      <c r="N12" s="10" t="n">
        <v>2645</v>
      </c>
      <c r="O12" s="10" t="n">
        <v>2016</v>
      </c>
      <c r="P12" s="10" t="n">
        <v>2819</v>
      </c>
      <c r="Q12" s="10" t="n">
        <v>1122</v>
      </c>
      <c r="R12" s="10" t="n">
        <v>1611</v>
      </c>
    </row>
    <row r="13" customFormat="false" ht="15" hidden="false" customHeight="false" outlineLevel="0" collapsed="false">
      <c r="A13" s="5" t="s">
        <v>123</v>
      </c>
      <c r="B13" s="15" t="n">
        <f aca="false">Индекс_динамики!C12</f>
        <v>1</v>
      </c>
      <c r="C13" s="9" t="n">
        <f aca="false">1-Параметры!$D$16/365</f>
        <v>1</v>
      </c>
      <c r="D13" s="17" t="n">
        <f aca="false">Параметры!$D$5*Параметры!$D$6*B13*C13</f>
        <v>2180.09771666667</v>
      </c>
      <c r="E13" s="17" t="n">
        <f aca="false">Параметры!$D$13*Параметры!$D$14*B13*C13</f>
        <v>366.5</v>
      </c>
      <c r="F13" s="17" t="n">
        <f aca="false">D13-E13</f>
        <v>1813.59771666667</v>
      </c>
      <c r="G13" s="17" t="n">
        <f aca="false">Параметры!$D$8*Параметры!$D$9*Параметры!$D$10/1000*Параметры!$D$12*B13*C13</f>
        <v>2393.685</v>
      </c>
      <c r="H13" s="17" t="n">
        <f aca="false">Параметры!$D$5*Параметры!$D$7*Параметры!$D$11*B13*C13</f>
        <v>486.906441028164</v>
      </c>
      <c r="I13" s="17" t="n">
        <f aca="false">F13+G13</f>
        <v>4207.28271666667</v>
      </c>
      <c r="J13" s="17" t="n">
        <f aca="false">Параметры!$D$5*Параметры!$D$7*B13*C13</f>
        <v>1305.42614948097</v>
      </c>
      <c r="K13" s="17" t="n">
        <f aca="false">Параметры!$D$15*C13</f>
        <v>32</v>
      </c>
      <c r="L13" s="17" t="n">
        <f aca="false">J13-E13-K13</f>
        <v>906.926149480969</v>
      </c>
      <c r="M13" s="10" t="n">
        <v>1902</v>
      </c>
      <c r="N13" s="10" t="n">
        <v>2656</v>
      </c>
      <c r="O13" s="10" t="n">
        <v>2014</v>
      </c>
      <c r="P13" s="10" t="n">
        <v>2820</v>
      </c>
      <c r="Q13" s="10" t="n">
        <v>1119</v>
      </c>
      <c r="R13" s="10" t="n">
        <v>1610</v>
      </c>
    </row>
    <row r="14" customFormat="false" ht="15" hidden="false" customHeight="false" outlineLevel="0" collapsed="false">
      <c r="A14" s="5" t="s">
        <v>125</v>
      </c>
      <c r="B14" s="15" t="n">
        <f aca="false">Индекс_динамики!C13</f>
        <v>1</v>
      </c>
      <c r="C14" s="9" t="n">
        <f aca="false">1-Параметры!$D$17/365</f>
        <v>1</v>
      </c>
      <c r="D14" s="17" t="n">
        <f aca="false">Параметры!$D$5*Параметры!$D$6*B14*C14</f>
        <v>2180.09771666667</v>
      </c>
      <c r="E14" s="17" t="n">
        <f aca="false">Параметры!$D$13*Параметры!$D$14*B14*C14</f>
        <v>366.5</v>
      </c>
      <c r="F14" s="17" t="n">
        <f aca="false">D14-E14</f>
        <v>1813.59771666667</v>
      </c>
      <c r="G14" s="17" t="n">
        <f aca="false">Параметры!$D$8*Параметры!$D$9*Параметры!$D$10/1000*Параметры!$D$12*B14*C14</f>
        <v>2393.685</v>
      </c>
      <c r="H14" s="17" t="n">
        <f aca="false">Параметры!$D$5*Параметры!$D$7*Параметры!$D$11*B14*C14</f>
        <v>486.906441028164</v>
      </c>
      <c r="I14" s="17" t="n">
        <f aca="false">F14+G14</f>
        <v>4207.28271666667</v>
      </c>
      <c r="J14" s="17" t="n">
        <f aca="false">Параметры!$D$5*Параметры!$D$7*B14*C14</f>
        <v>1305.42614948097</v>
      </c>
      <c r="K14" s="17" t="n">
        <f aca="false">Параметры!$D$15*C14</f>
        <v>32</v>
      </c>
      <c r="L14" s="17" t="n">
        <f aca="false">J14-E14-K14</f>
        <v>906.926149480969</v>
      </c>
      <c r="M14" s="10" t="n">
        <v>1901</v>
      </c>
      <c r="N14" s="10" t="n">
        <v>2650</v>
      </c>
      <c r="O14" s="10" t="n">
        <v>2013</v>
      </c>
      <c r="P14" s="10" t="n">
        <v>2821</v>
      </c>
      <c r="Q14" s="10" t="n">
        <v>1121</v>
      </c>
      <c r="R14" s="10" t="n">
        <v>1613</v>
      </c>
    </row>
    <row r="16" customFormat="false" ht="15" hidden="false" customHeight="false" outlineLevel="0" collapsed="false">
      <c r="A16" s="2" t="s">
        <v>148</v>
      </c>
    </row>
    <row r="17" customFormat="false" ht="15" hidden="false" customHeight="false" outlineLevel="0" collapsed="false">
      <c r="A17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37.3" hidden="false" customHeight="false" outlineLevel="0" collapsed="false">
      <c r="A4" s="3" t="s">
        <v>112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</row>
    <row r="5" customFormat="false" ht="15" hidden="false" customHeight="false" outlineLevel="0" collapsed="false">
      <c r="A5" s="5" t="s">
        <v>78</v>
      </c>
      <c r="B5" s="10" t="n">
        <v>2294003.7</v>
      </c>
      <c r="C5" s="10" t="n">
        <v>2343845.5</v>
      </c>
      <c r="D5" s="18" t="n">
        <f aca="false">Аналоги_CF!$H$7*B5/1000</f>
        <v>2199.21015867769</v>
      </c>
      <c r="E5" s="18" t="n">
        <f aca="false">Аналоги_CF!$H$6*C5/1000</f>
        <v>2210.45591869919</v>
      </c>
      <c r="F5" s="18" t="n">
        <f aca="false">Ряды_Азот!D5</f>
        <v>2010.20956354708</v>
      </c>
    </row>
    <row r="6" customFormat="false" ht="15" hidden="false" customHeight="false" outlineLevel="0" collapsed="false">
      <c r="A6" s="5" t="s">
        <v>79</v>
      </c>
      <c r="B6" s="10" t="n">
        <v>2223728.5</v>
      </c>
      <c r="C6" s="10" t="n">
        <v>2486125.8</v>
      </c>
      <c r="D6" s="18" t="n">
        <f aca="false">Аналоги_CF!$H$7*B6/1000</f>
        <v>2131.83889256198</v>
      </c>
      <c r="E6" s="18" t="n">
        <f aca="false">Аналоги_CF!$H$6*C6/1000</f>
        <v>2344.63896585366</v>
      </c>
      <c r="F6" s="18" t="n">
        <f aca="false">Ряды_Азот!D6</f>
        <v>2077.26865078331</v>
      </c>
    </row>
    <row r="7" customFormat="false" ht="15" hidden="false" customHeight="false" outlineLevel="0" collapsed="false">
      <c r="A7" s="5" t="s">
        <v>80</v>
      </c>
      <c r="B7" s="10" t="n">
        <v>2075193.4</v>
      </c>
      <c r="C7" s="10" t="n">
        <v>2432398.8</v>
      </c>
      <c r="D7" s="18" t="n">
        <f aca="false">Аналоги_CF!$H$7*B7/1000</f>
        <v>1989.44160661157</v>
      </c>
      <c r="E7" s="18" t="n">
        <f aca="false">Аналоги_CF!$H$6*C7/1000</f>
        <v>2293.9696</v>
      </c>
      <c r="F7" s="18" t="n">
        <f aca="false">Ряды_Азот!D7</f>
        <v>2080.65894747682</v>
      </c>
    </row>
    <row r="8" customFormat="false" ht="15" hidden="false" customHeight="false" outlineLevel="0" collapsed="false">
      <c r="A8" s="5" t="s">
        <v>81</v>
      </c>
      <c r="B8" s="10" t="n">
        <v>2273412.5</v>
      </c>
      <c r="C8" s="10" t="n">
        <v>2499053.3</v>
      </c>
      <c r="D8" s="18" t="n">
        <f aca="false">Аналоги_CF!$H$7*B8/1000</f>
        <v>2179.46983471074</v>
      </c>
      <c r="E8" s="18" t="n">
        <f aca="false">Аналоги_CF!$H$6*C8/1000</f>
        <v>2356.83075447154</v>
      </c>
      <c r="F8" s="18" t="n">
        <f aca="false">Ряды_Азот!D8</f>
        <v>2212.35681715259</v>
      </c>
    </row>
    <row r="9" customFormat="false" ht="15" hidden="false" customHeight="false" outlineLevel="0" collapsed="false">
      <c r="A9" s="5" t="s">
        <v>82</v>
      </c>
      <c r="B9" s="10" t="n">
        <v>2048312.7</v>
      </c>
      <c r="C9" s="10" t="n">
        <v>2223422</v>
      </c>
      <c r="D9" s="18" t="n">
        <f aca="false">Аналоги_CF!$H$7*B9/1000</f>
        <v>1963.67167933884</v>
      </c>
      <c r="E9" s="18" t="n">
        <f aca="false">Аналоги_CF!$H$6*C9/1000</f>
        <v>2096.88578861789</v>
      </c>
      <c r="F9" s="18" t="n">
        <f aca="false">Ряды_Азот!D9</f>
        <v>2078.07331697395</v>
      </c>
    </row>
    <row r="10" customFormat="false" ht="15" hidden="false" customHeight="false" outlineLevel="0" collapsed="false">
      <c r="A10" s="5" t="s">
        <v>83</v>
      </c>
      <c r="B10" s="10" t="n">
        <v>2226326.9</v>
      </c>
      <c r="C10" s="10" t="n">
        <v>2563756</v>
      </c>
      <c r="D10" s="18" t="n">
        <f aca="false">Аналоги_CF!$H$7*B10/1000</f>
        <v>2134.32992066116</v>
      </c>
      <c r="E10" s="18" t="n">
        <f aca="false">Аналоги_CF!$H$6*C10/1000</f>
        <v>2417.85118699187</v>
      </c>
      <c r="F10" s="18" t="n">
        <f aca="false">Ряды_Азот!D10</f>
        <v>2114.83638161403</v>
      </c>
    </row>
    <row r="11" customFormat="false" ht="15" hidden="false" customHeight="false" outlineLevel="0" collapsed="false">
      <c r="A11" s="5" t="s">
        <v>84</v>
      </c>
      <c r="B11" s="10" t="n">
        <v>2106706.9</v>
      </c>
      <c r="C11" s="10" t="n">
        <v>2599267.7</v>
      </c>
      <c r="D11" s="18" t="n">
        <f aca="false">Аналоги_CF!$H$7*B11/1000</f>
        <v>2019.65289586777</v>
      </c>
      <c r="E11" s="18" t="n">
        <f aca="false">Аналоги_CF!$H$6*C11/1000</f>
        <v>2451.34189593496</v>
      </c>
      <c r="F11" s="18" t="n">
        <f aca="false">Ряды_Азот!D11</f>
        <v>2180.09771666667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19" t="s">
        <v>158</v>
      </c>
    </row>
    <row r="4" customFormat="false" ht="15" hidden="false" customHeight="false" outlineLevel="0" collapsed="false">
      <c r="A4" s="19" t="s">
        <v>159</v>
      </c>
    </row>
    <row r="5" customFormat="false" ht="15" hidden="false" customHeight="false" outlineLevel="0" collapsed="false">
      <c r="A5" s="19" t="s">
        <v>160</v>
      </c>
    </row>
    <row r="6" customFormat="false" ht="15" hidden="false" customHeight="false" outlineLevel="0" collapsed="false">
      <c r="A6" s="19" t="s">
        <v>161</v>
      </c>
    </row>
    <row r="7" customFormat="false" ht="15" hidden="false" customHeight="false" outlineLevel="0" collapsed="false">
      <c r="A7" s="19" t="s">
        <v>162</v>
      </c>
    </row>
    <row r="8" customFormat="false" ht="15" hidden="false" customHeight="false" outlineLevel="0" collapsed="false">
      <c r="A8" s="19" t="s">
        <v>163</v>
      </c>
    </row>
    <row r="9" customFormat="false" ht="15" hidden="false" customHeight="false" outlineLevel="0" collapsed="false">
      <c r="A9" s="19" t="s">
        <v>164</v>
      </c>
    </row>
    <row r="10" customFormat="false" ht="15" hidden="false" customHeight="false" outlineLevel="0" collapsed="false">
      <c r="A10" s="1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
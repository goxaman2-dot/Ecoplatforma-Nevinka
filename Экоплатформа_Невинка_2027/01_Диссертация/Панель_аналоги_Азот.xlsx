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Читать_сначала" sheetId="1" state="visible" r:id="rId3"/>
    <sheet name="EPA_panel" sheetId="2" state="visible" r:id="rId4"/>
    <sheet name="Аналоги" sheetId="3" state="visible" r:id="rId5"/>
    <sheet name="Индексы" sheetId="4" state="visible" r:id="rId6"/>
    <sheet name="Год_эффекты" sheetId="5" state="visible" r:id="rId7"/>
    <sheet name="CF_мощности" sheetId="6" state="visible" r:id="rId8"/>
    <sheet name="Калибровка_CT" sheetId="7" state="visible" r:id="rId9"/>
    <sheet name="Sluiskil_EU" sheetId="8" state="visible" r:id="rId10"/>
    <sheet name="Азот_оценка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<sst xmlns="http://schemas.openxmlformats.org/spreadsheetml/2006/main" count="2085" uniqueCount="186">
  <si>
    <t xml:space="preserve">Оценка выбросов АО «Невинномысский Азот» по заводам-аналогам (версия 13.10.2026)</t>
  </si>
  <si>
    <t xml:space="preserve">Ряд «Азота» — модельная оценка, а не отчётность предприятия. В тексте диссертации обозначается как оценка с указанием метода и интервала.</t>
  </si>
  <si>
    <t xml:space="preserve">Жёлтые ячейки — ввод (мощность «Азота», выбор сценария). Зелёные — результаты, считаются формулами.</t>
  </si>
  <si>
    <t xml:space="preserve">Листы:</t>
  </si>
  <si>
    <t xml:space="preserve">EPA_panel — 29 аммиачных заводов США, 2010–2023, прямые выбросы по газам и разделам отчётности (EPA GHGRP, файлы ghgp_data_20XX.xlsx, данные на 16.08.2024; ПГП по AR4).</t>
  </si>
  <si>
    <t xml:space="preserve">Аналоги — 19 интегрированных азотных комплексов (аммиак + азотная кислота, разделы G и V), полный ряд 2017–2023, процессный CO2 аммиака ≥ 150 тыс. т в 2023 г.</t>
  </si>
  <si>
    <t xml:space="preserve">Индексы — индексы к 2017 г. по каждому заводу и медиана/квартили по годам (формулы).</t>
  </si>
  <si>
    <t xml:space="preserve">Год_эффекты — медиана индексов с бутстреп-интервалом и годовые эффекты двусторонней модели с фиксированными эффектами (рассчитаны в Python, 2000 повторов, seed 2026).</t>
  </si>
  <si>
    <t xml:space="preserve">CF_мощности — удельные выбросы на тонну мощности по аммиаку для 5 комплексов CF Industries (мощность — форма 10-K за 2022 г.).</t>
  </si>
  <si>
    <t xml:space="preserve">Калибровка_CT — сравнение модельных оценок Climate TRACE с измеренными выбросами.</t>
  </si>
  <si>
    <t xml:space="preserve">Sluiskil_EU — европейский аналог Yara Sluiskil (PBL/TNO 2024), для сравнения динамики.</t>
  </si>
  <si>
    <t xml:space="preserve">Азот_оценка — уровень и ряд 2017–2023 для «Азота» в трёх сценариях мощности.</t>
  </si>
  <si>
    <t xml:space="preserve">Ограничения: (1) выпуск аммиака по заводам США в открытой отчётности не раскрывается, поэтому интенсивность считается на тонну мощности; (2) границы учёта CO2, связанного в карбамиде, в отчётности США и России могут различаться — сверить по методике 296-ФЗ; (3) динамика США отражает режим дешёвого газа без цены на углерод; для «Азота» она ближе, чем динамика ЕС, но не тождественна; (4) остановки «Азота» в 2025–2026 гг. в ряд 2017–2023 не входят.</t>
  </si>
  <si>
    <t xml:space="preserve">Facility Id</t>
  </si>
  <si>
    <t xml:space="preserve">Название</t>
  </si>
  <si>
    <t xml:space="preserve">Штат</t>
  </si>
  <si>
    <t xml:space="preserve">Год</t>
  </si>
  <si>
    <t xml:space="preserve">Разделы</t>
  </si>
  <si>
    <t xml:space="preserve">Всего прямые, т CO2e</t>
  </si>
  <si>
    <t xml:space="preserve">CO2, т</t>
  </si>
  <si>
    <t xml:space="preserve">N2O, т CO2e</t>
  </si>
  <si>
    <t xml:space="preserve">Стац. сжигание (C)</t>
  </si>
  <si>
    <t xml:space="preserve">Аммиак, процесс (G)</t>
  </si>
  <si>
    <t xml:space="preserve">Азотная кислота (V)</t>
  </si>
  <si>
    <t xml:space="preserve">CO2 использован на месте</t>
  </si>
  <si>
    <t xml:space="preserve">CO2 передан</t>
  </si>
  <si>
    <t xml:space="preserve">ADVANSIX INCORPORATED - HOPEWELL</t>
  </si>
  <si>
    <t xml:space="preserve">VA</t>
  </si>
  <si>
    <t xml:space="preserve">C,G,PP</t>
  </si>
  <si>
    <t xml:space="preserve">N</t>
  </si>
  <si>
    <t xml:space="preserve">Y</t>
  </si>
  <si>
    <t xml:space="preserve">COFFEYVILLE RESOURCES NITROGEN FERT.</t>
  </si>
  <si>
    <t xml:space="preserve">KS</t>
  </si>
  <si>
    <t xml:space="preserve">C,G,V</t>
  </si>
  <si>
    <t xml:space="preserve">C,G,PP,V</t>
  </si>
  <si>
    <t xml:space="preserve">PCS Nitrogen Ohio, L.P.</t>
  </si>
  <si>
    <t xml:space="preserve">OH</t>
  </si>
  <si>
    <t xml:space="preserve">VERDIGRIS PLT</t>
  </si>
  <si>
    <t xml:space="preserve">OK</t>
  </si>
  <si>
    <t xml:space="preserve">CF INDUSTRIES NITROGEN, LLC - DONALDSONVILLE NITROGEN COMPLEX</t>
  </si>
  <si>
    <t xml:space="preserve">LA</t>
  </si>
  <si>
    <t xml:space="preserve">AGRIUM US BORGER NITROGEN OPERATIONS</t>
  </si>
  <si>
    <t xml:space="preserve">TX</t>
  </si>
  <si>
    <t xml:space="preserve">KOCH FERITLIZER ENID LLC ENID NITROGEN PLT</t>
  </si>
  <si>
    <t xml:space="preserve">Great Plains Synfuels Plant</t>
  </si>
  <si>
    <t xml:space="preserve">ND</t>
  </si>
  <si>
    <t xml:space="preserve">C,G,LL,PP</t>
  </si>
  <si>
    <t xml:space="preserve">C,G,LL,PP,RR (RPT)</t>
  </si>
  <si>
    <t xml:space="preserve">GREEN VALLEY CHEMICAL CORP</t>
  </si>
  <si>
    <t xml:space="preserve">IA</t>
  </si>
  <si>
    <t xml:space="preserve">C,G</t>
  </si>
  <si>
    <t xml:space="preserve">SIMPLOT PHOSPHATES</t>
  </si>
  <si>
    <t xml:space="preserve">WY</t>
  </si>
  <si>
    <t xml:space="preserve">C,G,Z</t>
  </si>
  <si>
    <t xml:space="preserve">PCS NITROGEN FERTILIZER LP - GEISMAR AGRICULTURAL NITROGEN &amp; PHOSPHATE PLANT</t>
  </si>
  <si>
    <t xml:space="preserve">C,G,PP,V,Z</t>
  </si>
  <si>
    <t xml:space="preserve">EL DORADO CHEMICAL COMPANY</t>
  </si>
  <si>
    <t xml:space="preserve">AR</t>
  </si>
  <si>
    <t xml:space="preserve">CF Industries Nitrogen, LLC - Yazoo City Facility</t>
  </si>
  <si>
    <t xml:space="preserve">MS</t>
  </si>
  <si>
    <t xml:space="preserve">PCS NITROGEN FERTILIZER, L.P.</t>
  </si>
  <si>
    <t xml:space="preserve">GA</t>
  </si>
  <si>
    <t xml:space="preserve">East Dubuque Nitrogen Fertilizers, LLC</t>
  </si>
  <si>
    <t xml:space="preserve">IL</t>
  </si>
  <si>
    <t xml:space="preserve">Dyno Nobel</t>
  </si>
  <si>
    <t xml:space="preserve">OR</t>
  </si>
  <si>
    <t xml:space="preserve">TERRA INTERNATIONAL (OKLAHOMA) INC</t>
  </si>
  <si>
    <t xml:space="preserve">TERRA INTERNATIONAL (OKLAHOMA) LLC</t>
  </si>
  <si>
    <t xml:space="preserve">PRYOR CHEMICAL COMPANY</t>
  </si>
  <si>
    <t xml:space="preserve">LSB Chemical L.L.C.</t>
  </si>
  <si>
    <t xml:space="preserve">Cheyenne Plant</t>
  </si>
  <si>
    <t xml:space="preserve">CF Industries Nitrogen, LLC-Port Neal Nitrogen Complex</t>
  </si>
  <si>
    <t xml:space="preserve">KOCH FERTILIZER DODGE CITY, LLC</t>
  </si>
  <si>
    <t xml:space="preserve">KOCH FERTILIZER BEATRICE, LLC</t>
  </si>
  <si>
    <t xml:space="preserve">NE</t>
  </si>
  <si>
    <t xml:space="preserve">Koch Fertilizer Ft. Dodge, LLC</t>
  </si>
  <si>
    <t xml:space="preserve">CHEROKEE NITROGEN</t>
  </si>
  <si>
    <t xml:space="preserve">AL</t>
  </si>
  <si>
    <t xml:space="preserve">Tampa Port Services</t>
  </si>
  <si>
    <t xml:space="preserve">Dyno Nobel Louisiana Ammonia LLC</t>
  </si>
  <si>
    <t xml:space="preserve">CF Industries East Point, LLC</t>
  </si>
  <si>
    <t xml:space="preserve">US Nitrogen LLC</t>
  </si>
  <si>
    <t xml:space="preserve">TN</t>
  </si>
  <si>
    <t xml:space="preserve">Iowa Fertilizer Company</t>
  </si>
  <si>
    <t xml:space="preserve">NE Nitro Geneva, LLC</t>
  </si>
  <si>
    <t xml:space="preserve">Процессный CO2 аммиака 2023, т</t>
  </si>
  <si>
    <t xml:space="preserve">N2O / процессный CO2, 2023</t>
  </si>
  <si>
    <t xml:space="preserve">Сжигание / процессный CO2, 2023</t>
  </si>
  <si>
    <t xml:space="preserve">Q25</t>
  </si>
  <si>
    <t xml:space="preserve">Медиана</t>
  </si>
  <si>
    <t xml:space="preserve">Q75</t>
  </si>
  <si>
    <t xml:space="preserve">Критерии отбора: разделы G и V в 2023 г.; данные за каждый год 2017–2023; процессный CO2 аммиака ≥ 150 тыс. т в 2023 г.</t>
  </si>
  <si>
    <t xml:space="preserve">Всего прямые выбросы, т CO2e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</si>
  <si>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</si>
  <si>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</si>
  <si>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</si>
  <si>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</si>
  <si>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</si>
  <si>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</si>
  <si>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</si>
  <si>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I 2017</t>
  </si>
  <si>
    <t xml:space="preserve">I 2018</t>
  </si>
  <si>
    <t xml:space="preserve">I 2019</t>
  </si>
  <si>
    <t xml:space="preserve">I 2020</t>
  </si>
  <si>
    <t xml:space="preserve">I 2021</t>
  </si>
  <si>
    <t xml:space="preserve">I 2022</t>
  </si>
  <si>
    <t xml:space="preserve">I 2023</t>
  </si>
  <si>
    <t xml:space="preserve">N2O азотной кислоты, т CO2e</t>
  </si>
  <si>
    <t xml:space="preserve">Медиана индекса (всего)</t>
  </si>
  <si>
    <t xml:space="preserve">95% ДИ н.</t>
  </si>
  <si>
    <t xml:space="preserve">95% ДИ в.</t>
  </si>
  <si>
    <t xml:space="preserve">Медиана индекса (CO2)</t>
  </si>
  <si>
    <t xml:space="preserve">FE: всего</t>
  </si>
  <si>
    <t xml:space="preserve">ДИ н.</t>
  </si>
  <si>
    <t xml:space="preserve">ДИ в.</t>
  </si>
  <si>
    <t xml:space="preserve">FE: CO2</t>
  </si>
  <si>
    <t xml:space="preserve">Медиана N2O</t>
  </si>
  <si>
    <t xml:space="preserve">Значения рассчитаны скриптом analyze.py (бутстреп по заводам, 2000 повторов, seed 2026). FE — exp(γ_t) из модели ln E_it = α_i + γ_t + ε_it на сбалансированной панели, γ_2017 = 0.</t>
  </si>
  <si>
    <t xml:space="preserve">Комплекс</t>
  </si>
  <si>
    <t xml:space="preserve">Мощность NH3, тыс. кор. т (10-K 2022)</t>
  </si>
  <si>
    <t xml:space="preserve">Мощность, тыс. т</t>
  </si>
  <si>
    <t xml:space="preserve">Всего 2022, т CO2e</t>
  </si>
  <si>
    <t xml:space="preserve">CO2 2022, т</t>
  </si>
  <si>
    <t xml:space="preserve">N2O 2022, т CO2e</t>
  </si>
  <si>
    <t xml:space="preserve">Процесс G 2022, т</t>
  </si>
  <si>
    <t xml:space="preserve">Сжигание 2022, т</t>
  </si>
  <si>
    <t xml:space="preserve">CO2 на т мощности</t>
  </si>
  <si>
    <t xml:space="preserve">Процесс на т мощности</t>
  </si>
  <si>
    <t xml:space="preserve">Сжигание на т мощности</t>
  </si>
  <si>
    <t xml:space="preserve">N2O на т мощности</t>
  </si>
  <si>
    <t xml:space="preserve">Всего на т мощности</t>
  </si>
  <si>
    <t xml:space="preserve">Donaldsonville</t>
  </si>
  <si>
    <t xml:space="preserve">Port Neal</t>
  </si>
  <si>
    <t xml:space="preserve">Verdigris</t>
  </si>
  <si>
    <t xml:space="preserve">Woodward (Terra OK)</t>
  </si>
  <si>
    <t xml:space="preserve">Yazoo City</t>
  </si>
  <si>
    <t xml:space="preserve">Минимум</t>
  </si>
  <si>
    <t xml:space="preserve">Максимум</t>
  </si>
  <si>
    <t xml:space="preserve">Мощность: CF Industries, Form 10-K FY2022, таблица производственных мощностей (короткие тонны, с учётом нормальных простоев). 1 кор. т = 0,90718474 т.</t>
  </si>
  <si>
    <t xml:space="preserve">Завод</t>
  </si>
  <si>
    <t xml:space="preserve">Climate TRACE v6, т CO2e/год (модель)</t>
  </si>
  <si>
    <t xml:space="preserve">Измерено, т CO2e</t>
  </si>
  <si>
    <t xml:space="preserve">Год измерения</t>
  </si>
  <si>
    <t xml:space="preserve">Измерено / модель</t>
  </si>
  <si>
    <t xml:space="preserve">Источник измерения</t>
  </si>
  <si>
    <t xml:space="preserve">EPA GHGRP</t>
  </si>
  <si>
    <t xml:space="preserve">Yara Sluiskil</t>
  </si>
  <si>
    <t xml:space="preserve">EU ETS (EUTL) по IndustryAtlas; в PBL то же значение отнесено к 2022 г.</t>
  </si>
  <si>
    <t xml:space="preserve">Невинномысский Азот, модель Climate TRACE</t>
  </si>
  <si>
    <t xml:space="preserve">Азот: модель × медиана отношения</t>
  </si>
  <si>
    <t xml:space="preserve">Азот: диапазон (мин.–макс. отношения)</t>
  </si>
  <si>
    <t xml:space="preserve">Модельные оценки Climate TRACE по IndustryAtlas (снимок 23.06.2026). Вывод: для интегрированных азотных комплексов модель занижает выбросы до 2,8 раза; как самостоятельная оценка уровня «Азота» непригодна, используется только для проверки.</t>
  </si>
  <si>
    <t xml:space="preserve">EU ETS, тыс. т CO2e</t>
  </si>
  <si>
    <t xml:space="preserve">Индекс к 2017</t>
  </si>
  <si>
    <t xml:space="preserve">PRTR CO2, тыс. т</t>
  </si>
  <si>
    <t xml:space="preserve">PRTR N2O, тыс. т CO2e</t>
  </si>
  <si>
    <t xml:space="preserve">Источник: Lamboo S. (PBL/TNO), Update Report: Decarbonisation options for the Dutch fertiliser industry, 2024, табл. 3–4. Мощность по аммиаку 1,9 млн т/год.</t>
  </si>
  <si>
    <t xml:space="preserve">Ввод</t>
  </si>
  <si>
    <t xml:space="preserve">Мощность по аммиаку, тыс. т/год — сценарий «низкий»</t>
  </si>
  <si>
    <t xml:space="preserve">Мощность по аммиаку, тыс. т/год — сценарий «базовый»</t>
  </si>
  <si>
    <t xml:space="preserve">Мощность по аммиаку, тыс. т/год — сценарий «высокий»</t>
  </si>
  <si>
    <t xml:space="preserve">Мощность не подтверждена первичным документом: 1 160 — сайт предприятия по своду; 1 350 — ИТС/сторонний справочник; 1 000 — оценка в СМИ. Заменить данными годового отчёта (e-disclosure.ru).</t>
  </si>
  <si>
    <t xml:space="preserve">Удельные параметры аналогов</t>
  </si>
  <si>
    <t xml:space="preserve">CO2 на т мощности: мин / медиана / макс</t>
  </si>
  <si>
    <t xml:space="preserve">Процессный CO2 на т мощности (медиана)</t>
  </si>
  <si>
    <t xml:space="preserve">N2O / процессный CO2: Q25 / медиана / Q75</t>
  </si>
  <si>
    <t xml:space="preserve">Уровень 2023 г., тыс. т (базовая мощность)</t>
  </si>
  <si>
    <t xml:space="preserve">Компонент</t>
  </si>
  <si>
    <t xml:space="preserve">Нижняя граница</t>
  </si>
  <si>
    <t xml:space="preserve">Центральная</t>
  </si>
  <si>
    <t xml:space="preserve">Верхняя граница</t>
  </si>
  <si>
    <t xml:space="preserve">CO2</t>
  </si>
  <si>
    <t xml:space="preserve">N2O (в CO2e)</t>
  </si>
  <si>
    <t xml:space="preserve">Всего</t>
  </si>
  <si>
    <t xml:space="preserve">Чистый процессный CO2 (поток для обмена), тыс. т</t>
  </si>
  <si>
    <t xml:space="preserve">Действующий сбыт пищевой CO2, тыс. т (EuroChem, 2018)</t>
  </si>
  <si>
    <t xml:space="preserve">Доля действующего сбыта в процессном CO2</t>
  </si>
  <si>
    <t xml:space="preserve">Отношение к оценке Climate TRACE (1 444 тыс. т)</t>
  </si>
  <si>
    <t xml:space="preserve">Ряд 2017–2023, тыс. т CO2e (центральная мощность; динамика — годовые эффекты FE по аналогам США)</t>
  </si>
  <si>
    <t xml:space="preserve">Индекс FE (всего)</t>
  </si>
  <si>
    <t xml:space="preserve">Оценка «Азота»</t>
  </si>
  <si>
    <t xml:space="preserve">95% ДИ н. (динамика)</t>
  </si>
  <si>
    <t xml:space="preserve">95% ДИ в. (динамика)</t>
  </si>
  <si>
    <t xml:space="preserve">Низкая мощность</t>
  </si>
  <si>
    <t xml:space="preserve">Высокая мощность</t>
  </si>
  <si>
    <t xml:space="preserve">Ряд привязан к уровню 2023 г. и восстанавливается назад по годовым эффектам; интервал отражает только неопределённость динамики. Неопределённость уровня — строки 14–16 и сценарии мощности.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</si>
</sst>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0"/>
    <numFmt numFmtId="167" formatCode="0.00"/>
    <numFmt numFmtId="168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Times New Roman"/>
      <family val="0"/>
      <charset val="1"/>
    </font>
    <font>
      <sz val="11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8"/>
    <col collapsed="false" customWidth="true" hidden="false" outlineLevel="0" max="4" min="3" style="0" width="6"/>
    <col collapsed="false" customWidth="true" hidden="false" outlineLevel="0" max="6" min="5" style="0" width="16"/>
    <col collapsed="false" customWidth="true" hidden="false" outlineLevel="0" max="8" min="7" style="0" width="14"/>
    <col collapsed="false" customWidth="true" hidden="false" outlineLevel="0" max="11" min="9" style="0" width="16"/>
    <col collapsed="false" customWidth="true" hidden="false" outlineLevel="0" max="13" min="12" style="0" width="12"/>
  </cols>
  <sheetData>
    <row r="1" customFormat="false" ht="15" hidden="false" customHeight="false" outlineLevel="0" collapsed="false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</row>
    <row r="2" customFormat="false" ht="15" hidden="false" customHeight="false" outlineLevel="0" collapsed="false">
      <c r="A2" s="2" t="n">
        <v>1000630</v>
      </c>
      <c r="B2" s="2" t="s">
        <v>26</v>
      </c>
      <c r="C2" s="2" t="s">
        <v>27</v>
      </c>
      <c r="D2" s="2" t="n">
        <v>2010</v>
      </c>
      <c r="E2" s="2" t="s">
        <v>28</v>
      </c>
      <c r="F2" s="4" t="n">
        <v>1071582.202</v>
      </c>
      <c r="G2" s="4" t="n">
        <v>1070764</v>
      </c>
      <c r="H2" s="4" t="n">
        <v>521.202</v>
      </c>
      <c r="I2" s="4" t="n">
        <v>424333.202</v>
      </c>
      <c r="J2" s="4" t="n">
        <v>647249</v>
      </c>
      <c r="K2" s="4"/>
      <c r="L2" s="2" t="s">
        <v>29</v>
      </c>
      <c r="M2" s="2" t="s">
        <v>30</v>
      </c>
    </row>
    <row r="3" customFormat="false" ht="15" hidden="false" customHeight="false" outlineLevel="0" collapsed="false">
      <c r="A3" s="2" t="n">
        <v>1000630</v>
      </c>
      <c r="B3" s="2" t="s">
        <v>26</v>
      </c>
      <c r="C3" s="2" t="s">
        <v>27</v>
      </c>
      <c r="D3" s="2" t="n">
        <v>2011</v>
      </c>
      <c r="E3" s="2" t="s">
        <v>28</v>
      </c>
      <c r="F3" s="4" t="n">
        <v>999354.416</v>
      </c>
      <c r="G3" s="4" t="n">
        <v>999002.6</v>
      </c>
      <c r="H3" s="4" t="n">
        <v>191.316</v>
      </c>
      <c r="I3" s="4" t="n">
        <v>340150.416</v>
      </c>
      <c r="J3" s="4" t="n">
        <v>659204</v>
      </c>
      <c r="K3" s="4"/>
      <c r="L3" s="2" t="s">
        <v>29</v>
      </c>
      <c r="M3" s="2" t="s">
        <v>30</v>
      </c>
    </row>
    <row r="4" customFormat="false" ht="15" hidden="false" customHeight="false" outlineLevel="0" collapsed="false">
      <c r="A4" s="2" t="n">
        <v>1000630</v>
      </c>
      <c r="B4" s="2" t="s">
        <v>26</v>
      </c>
      <c r="C4" s="2" t="s">
        <v>27</v>
      </c>
      <c r="D4" s="2" t="n">
        <v>2012</v>
      </c>
      <c r="E4" s="2" t="s">
        <v>28</v>
      </c>
      <c r="F4" s="4" t="n">
        <v>1151345.38</v>
      </c>
      <c r="G4" s="4" t="n">
        <v>1150682</v>
      </c>
      <c r="H4" s="4" t="n">
        <v>390.38</v>
      </c>
      <c r="I4" s="4" t="n">
        <v>502156.38</v>
      </c>
      <c r="J4" s="4" t="n">
        <v>649189</v>
      </c>
      <c r="K4" s="4"/>
      <c r="L4" s="2" t="s">
        <v>29</v>
      </c>
      <c r="M4" s="2" t="s">
        <v>30</v>
      </c>
    </row>
    <row r="5" customFormat="false" ht="15" hidden="false" customHeight="false" outlineLevel="0" collapsed="false">
      <c r="A5" s="2" t="n">
        <v>1000630</v>
      </c>
      <c r="B5" s="2" t="s">
        <v>26</v>
      </c>
      <c r="C5" s="2" t="s">
        <v>27</v>
      </c>
      <c r="D5" s="2" t="n">
        <v>2013</v>
      </c>
      <c r="E5" s="2" t="s">
        <v>28</v>
      </c>
      <c r="F5" s="4" t="n">
        <v>1115670.506</v>
      </c>
      <c r="G5" s="4" t="n">
        <v>1114892.8</v>
      </c>
      <c r="H5" s="4" t="n">
        <v>468.456</v>
      </c>
      <c r="I5" s="4" t="n">
        <v>470866.506</v>
      </c>
      <c r="J5" s="4" t="n">
        <v>644804</v>
      </c>
      <c r="K5" s="4"/>
      <c r="L5" s="2" t="s">
        <v>29</v>
      </c>
      <c r="M5" s="2" t="s">
        <v>30</v>
      </c>
    </row>
    <row r="6" customFormat="false" ht="15" hidden="false" customHeight="false" outlineLevel="0" collapsed="false">
      <c r="A6" s="2" t="n">
        <v>1000630</v>
      </c>
      <c r="B6" s="2" t="s">
        <v>26</v>
      </c>
      <c r="C6" s="2" t="s">
        <v>27</v>
      </c>
      <c r="D6" s="2" t="n">
        <v>2014</v>
      </c>
      <c r="E6" s="2" t="s">
        <v>28</v>
      </c>
      <c r="F6" s="4" t="n">
        <v>1054912.63</v>
      </c>
      <c r="G6" s="4" t="n">
        <v>1054351.6</v>
      </c>
      <c r="H6" s="4" t="n">
        <v>330.78</v>
      </c>
      <c r="I6" s="4" t="n">
        <v>386319.63</v>
      </c>
      <c r="J6" s="4" t="n">
        <v>668593</v>
      </c>
      <c r="K6" s="4"/>
      <c r="L6" s="2" t="s">
        <v>29</v>
      </c>
      <c r="M6" s="2" t="s">
        <v>30</v>
      </c>
    </row>
    <row r="7" customFormat="false" ht="15" hidden="false" customHeight="false" outlineLevel="0" collapsed="false">
      <c r="A7" s="2" t="n">
        <v>1000630</v>
      </c>
      <c r="B7" s="2" t="s">
        <v>26</v>
      </c>
      <c r="C7" s="2" t="s">
        <v>27</v>
      </c>
      <c r="D7" s="2" t="n">
        <v>2015</v>
      </c>
      <c r="E7" s="2" t="s">
        <v>28</v>
      </c>
      <c r="F7" s="4" t="n">
        <v>974277.288</v>
      </c>
      <c r="G7" s="4" t="n">
        <v>973824.7</v>
      </c>
      <c r="H7" s="4" t="n">
        <v>255.088</v>
      </c>
      <c r="I7" s="4" t="n">
        <v>359039.388</v>
      </c>
      <c r="J7" s="4" t="n">
        <v>615237.9</v>
      </c>
      <c r="K7" s="4"/>
      <c r="L7" s="2" t="s">
        <v>29</v>
      </c>
      <c r="M7" s="2" t="s">
        <v>30</v>
      </c>
    </row>
    <row r="8" customFormat="false" ht="15" hidden="false" customHeight="false" outlineLevel="0" collapsed="false">
      <c r="A8" s="2" t="n">
        <v>1000630</v>
      </c>
      <c r="B8" s="2" t="s">
        <v>26</v>
      </c>
      <c r="C8" s="2" t="s">
        <v>27</v>
      </c>
      <c r="D8" s="2" t="n">
        <v>2016</v>
      </c>
      <c r="E8" s="2" t="s">
        <v>28</v>
      </c>
      <c r="F8" s="4" t="n">
        <v>958521.876</v>
      </c>
      <c r="G8" s="4" t="n">
        <v>958046.6</v>
      </c>
      <c r="H8" s="4" t="n">
        <v>271.776</v>
      </c>
      <c r="I8" s="4" t="n">
        <v>361952.876</v>
      </c>
      <c r="J8" s="4" t="n">
        <v>596569</v>
      </c>
      <c r="K8" s="4"/>
      <c r="L8" s="2" t="s">
        <v>29</v>
      </c>
      <c r="M8" s="2" t="s">
        <v>30</v>
      </c>
    </row>
    <row r="9" customFormat="false" ht="15" hidden="false" customHeight="false" outlineLevel="0" collapsed="false">
      <c r="A9" s="2" t="n">
        <v>1000630</v>
      </c>
      <c r="B9" s="2" t="s">
        <v>26</v>
      </c>
      <c r="C9" s="2" t="s">
        <v>27</v>
      </c>
      <c r="D9" s="2" t="n">
        <v>2017</v>
      </c>
      <c r="E9" s="2" t="s">
        <v>28</v>
      </c>
      <c r="F9" s="4" t="n">
        <v>1040591.29</v>
      </c>
      <c r="G9" s="4" t="n">
        <v>1040131.5</v>
      </c>
      <c r="H9" s="4" t="n">
        <v>254.79</v>
      </c>
      <c r="I9" s="4" t="n">
        <v>416145.29</v>
      </c>
      <c r="J9" s="4" t="n">
        <v>624446</v>
      </c>
      <c r="K9" s="4"/>
      <c r="L9" s="2" t="s">
        <v>29</v>
      </c>
      <c r="M9" s="2" t="s">
        <v>30</v>
      </c>
    </row>
    <row r="10" customFormat="false" ht="15" hidden="false" customHeight="false" outlineLevel="0" collapsed="false">
      <c r="A10" s="2" t="n">
        <v>1000630</v>
      </c>
      <c r="B10" s="2" t="s">
        <v>26</v>
      </c>
      <c r="C10" s="2" t="s">
        <v>27</v>
      </c>
      <c r="D10" s="2" t="n">
        <v>2018</v>
      </c>
      <c r="E10" s="2" t="s">
        <v>28</v>
      </c>
      <c r="F10" s="4" t="n">
        <v>995690.3</v>
      </c>
      <c r="G10" s="4" t="n">
        <v>995293</v>
      </c>
      <c r="H10" s="4" t="n">
        <v>216.05</v>
      </c>
      <c r="I10" s="4" t="n">
        <v>385473.3</v>
      </c>
      <c r="J10" s="4" t="n">
        <v>610217</v>
      </c>
      <c r="K10" s="4"/>
      <c r="L10" s="2" t="s">
        <v>29</v>
      </c>
      <c r="M10" s="2" t="s">
        <v>30</v>
      </c>
    </row>
    <row r="11" customFormat="false" ht="15" hidden="false" customHeight="false" outlineLevel="0" collapsed="false">
      <c r="A11" s="2" t="n">
        <v>1000630</v>
      </c>
      <c r="B11" s="2" t="s">
        <v>26</v>
      </c>
      <c r="C11" s="2" t="s">
        <v>27</v>
      </c>
      <c r="D11" s="2" t="n">
        <v>2019</v>
      </c>
      <c r="E11" s="2" t="s">
        <v>28</v>
      </c>
      <c r="F11" s="4" t="n">
        <v>1241380.064</v>
      </c>
      <c r="G11" s="4" t="n">
        <v>1240822.2</v>
      </c>
      <c r="H11" s="4" t="n">
        <v>303.364</v>
      </c>
      <c r="I11" s="4" t="n">
        <v>541178.464</v>
      </c>
      <c r="J11" s="4" t="n">
        <v>700201.6</v>
      </c>
      <c r="K11" s="4"/>
      <c r="L11" s="2" t="s">
        <v>29</v>
      </c>
      <c r="M11" s="2" t="s">
        <v>30</v>
      </c>
    </row>
    <row r="12" customFormat="false" ht="15" hidden="false" customHeight="false" outlineLevel="0" collapsed="false">
      <c r="A12" s="2" t="n">
        <v>1000630</v>
      </c>
      <c r="B12" s="2" t="s">
        <v>26</v>
      </c>
      <c r="C12" s="2" t="s">
        <v>27</v>
      </c>
      <c r="D12" s="2" t="n">
        <v>2020</v>
      </c>
      <c r="E12" s="2" t="s">
        <v>28</v>
      </c>
      <c r="F12" s="4" t="n">
        <v>1181515.788</v>
      </c>
      <c r="G12" s="4" t="n">
        <v>1180950.8</v>
      </c>
      <c r="H12" s="4" t="n">
        <v>307.238</v>
      </c>
      <c r="I12" s="4" t="n">
        <v>547761.388</v>
      </c>
      <c r="J12" s="4" t="n">
        <v>633754.4</v>
      </c>
      <c r="K12" s="4"/>
      <c r="L12" s="2" t="s">
        <v>29</v>
      </c>
      <c r="M12" s="2" t="s">
        <v>30</v>
      </c>
    </row>
    <row r="13" customFormat="false" ht="15" hidden="false" customHeight="false" outlineLevel="0" collapsed="false">
      <c r="A13" s="2" t="n">
        <v>1000630</v>
      </c>
      <c r="B13" s="2" t="s">
        <v>26</v>
      </c>
      <c r="C13" s="2" t="s">
        <v>27</v>
      </c>
      <c r="D13" s="2" t="n">
        <v>2021</v>
      </c>
      <c r="E13" s="2" t="s">
        <v>28</v>
      </c>
      <c r="F13" s="4" t="n">
        <v>1206917.816</v>
      </c>
      <c r="G13" s="4" t="n">
        <v>1206346.8</v>
      </c>
      <c r="H13" s="4" t="n">
        <v>310.516</v>
      </c>
      <c r="I13" s="4" t="n">
        <v>553882.116</v>
      </c>
      <c r="J13" s="4" t="n">
        <v>653035.7</v>
      </c>
      <c r="K13" s="4"/>
      <c r="L13" s="2" t="s">
        <v>29</v>
      </c>
      <c r="M13" s="2" t="s">
        <v>30</v>
      </c>
    </row>
    <row r="14" customFormat="false" ht="15" hidden="false" customHeight="false" outlineLevel="0" collapsed="false">
      <c r="A14" s="2" t="n">
        <v>1000630</v>
      </c>
      <c r="B14" s="2" t="s">
        <v>26</v>
      </c>
      <c r="C14" s="2" t="s">
        <v>27</v>
      </c>
      <c r="D14" s="2" t="n">
        <v>2022</v>
      </c>
      <c r="E14" s="2" t="s">
        <v>28</v>
      </c>
      <c r="F14" s="4" t="n">
        <v>1163957.716</v>
      </c>
      <c r="G14" s="4" t="n">
        <v>1163400.4</v>
      </c>
      <c r="H14" s="4" t="n">
        <v>303.066</v>
      </c>
      <c r="I14" s="4" t="n">
        <v>540243.116</v>
      </c>
      <c r="J14" s="4" t="n">
        <v>623714.6</v>
      </c>
      <c r="K14" s="4"/>
      <c r="L14" s="2" t="s">
        <v>29</v>
      </c>
      <c r="M14" s="2" t="s">
        <v>30</v>
      </c>
    </row>
    <row r="15" customFormat="false" ht="15" hidden="false" customHeight="false" outlineLevel="0" collapsed="false">
      <c r="A15" s="2" t="n">
        <v>1000630</v>
      </c>
      <c r="B15" s="2" t="s">
        <v>26</v>
      </c>
      <c r="C15" s="2" t="s">
        <v>27</v>
      </c>
      <c r="D15" s="2" t="n">
        <v>2023</v>
      </c>
      <c r="E15" s="2" t="s">
        <v>28</v>
      </c>
      <c r="F15" s="4" t="n">
        <v>1227774.444</v>
      </c>
      <c r="G15" s="4" t="n">
        <v>1227197.4</v>
      </c>
      <c r="H15" s="4" t="n">
        <v>313.794</v>
      </c>
      <c r="I15" s="4" t="n">
        <v>559479.744</v>
      </c>
      <c r="J15" s="4" t="n">
        <v>668294.7</v>
      </c>
      <c r="K15" s="4"/>
      <c r="L15" s="2" t="s">
        <v>29</v>
      </c>
      <c r="M15" s="2" t="s">
        <v>30</v>
      </c>
    </row>
    <row r="16" customFormat="false" ht="15" hidden="false" customHeight="false" outlineLevel="0" collapsed="false">
      <c r="A16" s="2" t="n">
        <v>1002170</v>
      </c>
      <c r="B16" s="2" t="s">
        <v>31</v>
      </c>
      <c r="C16" s="2" t="s">
        <v>32</v>
      </c>
      <c r="D16" s="2" t="n">
        <v>2010</v>
      </c>
      <c r="E16" s="2" t="s">
        <v>33</v>
      </c>
      <c r="F16" s="4" t="n">
        <v>1234377.664</v>
      </c>
      <c r="G16" s="4" t="n">
        <v>1086122.5</v>
      </c>
      <c r="H16" s="4" t="n">
        <v>148252.914</v>
      </c>
      <c r="I16" s="4" t="n">
        <v>4227.232</v>
      </c>
      <c r="J16" s="4" t="n">
        <v>1081900.2</v>
      </c>
      <c r="K16" s="4" t="n">
        <v>148250.232</v>
      </c>
      <c r="L16" s="2" t="s">
        <v>30</v>
      </c>
      <c r="M16" s="2" t="s">
        <v>29</v>
      </c>
    </row>
    <row r="17" customFormat="false" ht="15" hidden="false" customHeight="false" outlineLevel="0" collapsed="false">
      <c r="A17" s="2" t="n">
        <v>1002170</v>
      </c>
      <c r="B17" s="2" t="s">
        <v>31</v>
      </c>
      <c r="C17" s="2" t="s">
        <v>32</v>
      </c>
      <c r="D17" s="2" t="n">
        <v>2011</v>
      </c>
      <c r="E17" s="2" t="s">
        <v>33</v>
      </c>
      <c r="F17" s="4" t="n">
        <v>1528733.716</v>
      </c>
      <c r="G17" s="4" t="n">
        <v>1357660</v>
      </c>
      <c r="H17" s="4" t="n">
        <v>171071.966</v>
      </c>
      <c r="I17" s="4" t="n">
        <v>3620.636</v>
      </c>
      <c r="J17" s="4" t="n">
        <v>1354043.2</v>
      </c>
      <c r="K17" s="4" t="n">
        <v>171069.88</v>
      </c>
      <c r="L17" s="2" t="s">
        <v>30</v>
      </c>
      <c r="M17" s="2" t="s">
        <v>29</v>
      </c>
    </row>
    <row r="18" customFormat="false" ht="15" hidden="false" customHeight="false" outlineLevel="0" collapsed="false">
      <c r="A18" s="2" t="n">
        <v>1002170</v>
      </c>
      <c r="B18" s="2" t="s">
        <v>31</v>
      </c>
      <c r="C18" s="2" t="s">
        <v>32</v>
      </c>
      <c r="D18" s="2" t="n">
        <v>2012</v>
      </c>
      <c r="E18" s="2" t="s">
        <v>33</v>
      </c>
      <c r="F18" s="4" t="n">
        <v>1531472.08</v>
      </c>
      <c r="G18" s="4" t="n">
        <v>1277279.8</v>
      </c>
      <c r="H18" s="4" t="n">
        <v>254189.53</v>
      </c>
      <c r="I18" s="4" t="n">
        <v>5680.928</v>
      </c>
      <c r="J18" s="4" t="n">
        <v>1271604.9</v>
      </c>
      <c r="K18" s="4" t="n">
        <v>254186.252</v>
      </c>
      <c r="L18" s="2" t="s">
        <v>30</v>
      </c>
      <c r="M18" s="2" t="s">
        <v>29</v>
      </c>
    </row>
    <row r="19" customFormat="false" ht="15" hidden="false" customHeight="false" outlineLevel="0" collapsed="false">
      <c r="A19" s="2" t="n">
        <v>1002170</v>
      </c>
      <c r="B19" s="2" t="s">
        <v>31</v>
      </c>
      <c r="C19" s="2" t="s">
        <v>32</v>
      </c>
      <c r="D19" s="2" t="n">
        <v>2013</v>
      </c>
      <c r="E19" s="2" t="s">
        <v>34</v>
      </c>
      <c r="F19" s="4" t="n">
        <v>1913140.318</v>
      </c>
      <c r="G19" s="4" t="n">
        <v>1353241.1</v>
      </c>
      <c r="H19" s="4" t="n">
        <v>559879.718</v>
      </c>
      <c r="I19" s="4" t="n">
        <v>41655.544</v>
      </c>
      <c r="J19" s="4" t="n">
        <v>1311628.3</v>
      </c>
      <c r="K19" s="4" t="n">
        <v>559856.474</v>
      </c>
      <c r="L19" s="2" t="s">
        <v>30</v>
      </c>
      <c r="M19" s="2" t="s">
        <v>30</v>
      </c>
    </row>
    <row r="20" customFormat="false" ht="15" hidden="false" customHeight="false" outlineLevel="0" collapsed="false">
      <c r="A20" s="2" t="n">
        <v>1002170</v>
      </c>
      <c r="B20" s="2" t="s">
        <v>31</v>
      </c>
      <c r="C20" s="2" t="s">
        <v>32</v>
      </c>
      <c r="D20" s="2" t="n">
        <v>2014</v>
      </c>
      <c r="E20" s="2" t="s">
        <v>34</v>
      </c>
      <c r="F20" s="4" t="n">
        <v>1986358.86</v>
      </c>
      <c r="G20" s="4" t="n">
        <v>1378551.2</v>
      </c>
      <c r="H20" s="4" t="n">
        <v>607784.41</v>
      </c>
      <c r="I20" s="4" t="n">
        <v>49271.364</v>
      </c>
      <c r="J20" s="4" t="n">
        <v>1329330.8</v>
      </c>
      <c r="K20" s="4" t="n">
        <v>607756.696</v>
      </c>
      <c r="L20" s="2" t="s">
        <v>30</v>
      </c>
      <c r="M20" s="2" t="s">
        <v>30</v>
      </c>
    </row>
    <row r="21" customFormat="false" ht="15" hidden="false" customHeight="false" outlineLevel="0" collapsed="false">
      <c r="A21" s="2" t="n">
        <v>1002170</v>
      </c>
      <c r="B21" s="2" t="s">
        <v>31</v>
      </c>
      <c r="C21" s="2" t="s">
        <v>32</v>
      </c>
      <c r="D21" s="2" t="n">
        <v>2015</v>
      </c>
      <c r="E21" s="2" t="s">
        <v>34</v>
      </c>
      <c r="F21" s="4" t="n">
        <v>1798429.14</v>
      </c>
      <c r="G21" s="4" t="n">
        <v>1281752.6</v>
      </c>
      <c r="H21" s="4" t="n">
        <v>516651.54</v>
      </c>
      <c r="I21" s="4" t="n">
        <v>53080.2</v>
      </c>
      <c r="J21" s="4" t="n">
        <v>1228727.2</v>
      </c>
      <c r="K21" s="4" t="n">
        <v>516621.74</v>
      </c>
      <c r="L21" s="2" t="s">
        <v>30</v>
      </c>
      <c r="M21" s="2" t="s">
        <v>30</v>
      </c>
    </row>
    <row r="22" customFormat="false" ht="15" hidden="false" customHeight="false" outlineLevel="0" collapsed="false">
      <c r="A22" s="2" t="n">
        <v>1002170</v>
      </c>
      <c r="B22" s="2" t="s">
        <v>31</v>
      </c>
      <c r="C22" s="2" t="s">
        <v>32</v>
      </c>
      <c r="D22" s="2" t="n">
        <v>2016</v>
      </c>
      <c r="E22" s="2" t="s">
        <v>34</v>
      </c>
      <c r="F22" s="4" t="n">
        <v>2111064.224</v>
      </c>
      <c r="G22" s="4" t="n">
        <v>1411929.1</v>
      </c>
      <c r="H22" s="4" t="n">
        <v>699111.874</v>
      </c>
      <c r="I22" s="4" t="n">
        <v>49227.164</v>
      </c>
      <c r="J22" s="4" t="n">
        <v>1362752.9</v>
      </c>
      <c r="K22" s="4" t="n">
        <v>699084.16</v>
      </c>
      <c r="L22" s="2" t="s">
        <v>30</v>
      </c>
      <c r="M22" s="2" t="s">
        <v>30</v>
      </c>
    </row>
    <row r="23" customFormat="false" ht="15" hidden="false" customHeight="false" outlineLevel="0" collapsed="false">
      <c r="A23" s="2" t="n">
        <v>1002170</v>
      </c>
      <c r="B23" s="2" t="s">
        <v>31</v>
      </c>
      <c r="C23" s="2" t="s">
        <v>32</v>
      </c>
      <c r="D23" s="2" t="n">
        <v>2017</v>
      </c>
      <c r="E23" s="2" t="s">
        <v>34</v>
      </c>
      <c r="F23" s="4" t="n">
        <v>2065937.974</v>
      </c>
      <c r="G23" s="4" t="n">
        <v>1342328.1</v>
      </c>
      <c r="H23" s="4" t="n">
        <v>723585.124</v>
      </c>
      <c r="I23" s="4" t="n">
        <v>52489.652</v>
      </c>
      <c r="J23" s="4" t="n">
        <v>1289892.7</v>
      </c>
      <c r="K23" s="4" t="n">
        <v>723555.622</v>
      </c>
      <c r="L23" s="2" t="s">
        <v>30</v>
      </c>
      <c r="M23" s="2" t="s">
        <v>30</v>
      </c>
    </row>
    <row r="24" customFormat="false" ht="15" hidden="false" customHeight="false" outlineLevel="0" collapsed="false">
      <c r="A24" s="2" t="n">
        <v>1002170</v>
      </c>
      <c r="B24" s="2" t="s">
        <v>31</v>
      </c>
      <c r="C24" s="2" t="s">
        <v>32</v>
      </c>
      <c r="D24" s="2" t="n">
        <v>2018</v>
      </c>
      <c r="E24" s="2" t="s">
        <v>34</v>
      </c>
      <c r="F24" s="4" t="n">
        <v>1973467.68</v>
      </c>
      <c r="G24" s="4" t="n">
        <v>1260937.6</v>
      </c>
      <c r="H24" s="4" t="n">
        <v>712506.08</v>
      </c>
      <c r="I24" s="4" t="n">
        <v>51197.708</v>
      </c>
      <c r="J24" s="4" t="n">
        <v>1209792.5</v>
      </c>
      <c r="K24" s="4" t="n">
        <v>712477.472</v>
      </c>
      <c r="L24" s="2" t="s">
        <v>30</v>
      </c>
      <c r="M24" s="2" t="s">
        <v>30</v>
      </c>
    </row>
    <row r="25" customFormat="false" ht="15" hidden="false" customHeight="false" outlineLevel="0" collapsed="false">
      <c r="A25" s="2" t="n">
        <v>1002170</v>
      </c>
      <c r="B25" s="2" t="s">
        <v>31</v>
      </c>
      <c r="C25" s="2" t="s">
        <v>32</v>
      </c>
      <c r="D25" s="2" t="n">
        <v>2019</v>
      </c>
      <c r="E25" s="2" t="s">
        <v>34</v>
      </c>
      <c r="F25" s="4" t="n">
        <v>2085170.224</v>
      </c>
      <c r="G25" s="4" t="n">
        <v>1478071.4</v>
      </c>
      <c r="H25" s="4" t="n">
        <v>607074.574</v>
      </c>
      <c r="I25" s="4" t="n">
        <v>51666.156</v>
      </c>
      <c r="J25" s="4" t="n">
        <v>1426458.4</v>
      </c>
      <c r="K25" s="4" t="n">
        <v>607045.668</v>
      </c>
      <c r="L25" s="2" t="s">
        <v>30</v>
      </c>
      <c r="M25" s="2" t="s">
        <v>30</v>
      </c>
    </row>
    <row r="26" customFormat="false" ht="15" hidden="false" customHeight="false" outlineLevel="0" collapsed="false">
      <c r="A26" s="2" t="n">
        <v>1002170</v>
      </c>
      <c r="B26" s="2" t="s">
        <v>31</v>
      </c>
      <c r="C26" s="2" t="s">
        <v>32</v>
      </c>
      <c r="D26" s="2" t="n">
        <v>2020</v>
      </c>
      <c r="E26" s="2" t="s">
        <v>34</v>
      </c>
      <c r="F26" s="4" t="n">
        <v>1689228.57</v>
      </c>
      <c r="G26" s="4" t="n">
        <v>1451330.3</v>
      </c>
      <c r="H26" s="4" t="n">
        <v>237875.52</v>
      </c>
      <c r="I26" s="4" t="n">
        <v>48580.668</v>
      </c>
      <c r="J26" s="4" t="n">
        <v>1402799.5</v>
      </c>
      <c r="K26" s="4" t="n">
        <v>237848.402</v>
      </c>
      <c r="L26" s="2" t="s">
        <v>30</v>
      </c>
      <c r="M26" s="2" t="s">
        <v>30</v>
      </c>
    </row>
    <row r="27" customFormat="false" ht="15" hidden="false" customHeight="false" outlineLevel="0" collapsed="false">
      <c r="A27" s="2" t="n">
        <v>1002170</v>
      </c>
      <c r="B27" s="2" t="s">
        <v>31</v>
      </c>
      <c r="C27" s="2" t="s">
        <v>32</v>
      </c>
      <c r="D27" s="2" t="n">
        <v>2021</v>
      </c>
      <c r="E27" s="2" t="s">
        <v>34</v>
      </c>
      <c r="F27" s="4" t="n">
        <v>1674019.8</v>
      </c>
      <c r="G27" s="4" t="n">
        <v>1423149.6</v>
      </c>
      <c r="H27" s="4" t="n">
        <v>250848.95</v>
      </c>
      <c r="I27" s="4" t="n">
        <v>44943.88</v>
      </c>
      <c r="J27" s="4" t="n">
        <v>1378252.3</v>
      </c>
      <c r="K27" s="4" t="n">
        <v>250823.62</v>
      </c>
      <c r="L27" s="2" t="s">
        <v>30</v>
      </c>
      <c r="M27" s="2" t="s">
        <v>30</v>
      </c>
    </row>
    <row r="28" customFormat="false" ht="15" hidden="false" customHeight="false" outlineLevel="0" collapsed="false">
      <c r="A28" s="2" t="n">
        <v>1002170</v>
      </c>
      <c r="B28" s="2" t="s">
        <v>31</v>
      </c>
      <c r="C28" s="2" t="s">
        <v>32</v>
      </c>
      <c r="D28" s="2" t="n">
        <v>2022</v>
      </c>
      <c r="E28" s="2" t="s">
        <v>34</v>
      </c>
      <c r="F28" s="4" t="n">
        <v>1481142.536</v>
      </c>
      <c r="G28" s="4" t="n">
        <v>1176218.5</v>
      </c>
      <c r="H28" s="4" t="n">
        <v>304900.786</v>
      </c>
      <c r="I28" s="4" t="n">
        <v>49442.564</v>
      </c>
      <c r="J28" s="4" t="n">
        <v>1126826.9</v>
      </c>
      <c r="K28" s="4" t="n">
        <v>304873.072</v>
      </c>
      <c r="L28" s="2" t="s">
        <v>30</v>
      </c>
      <c r="M28" s="2" t="s">
        <v>30</v>
      </c>
    </row>
    <row r="29" customFormat="false" ht="15" hidden="false" customHeight="false" outlineLevel="0" collapsed="false">
      <c r="A29" s="2" t="n">
        <v>1002170</v>
      </c>
      <c r="B29" s="2" t="s">
        <v>31</v>
      </c>
      <c r="C29" s="2" t="s">
        <v>32</v>
      </c>
      <c r="D29" s="2" t="n">
        <v>2023</v>
      </c>
      <c r="E29" s="2" t="s">
        <v>34</v>
      </c>
      <c r="F29" s="4" t="n">
        <v>1640985.01</v>
      </c>
      <c r="G29" s="4" t="n">
        <v>1401416.2</v>
      </c>
      <c r="H29" s="4" t="n">
        <v>239545.81</v>
      </c>
      <c r="I29" s="4" t="n">
        <v>48664.416</v>
      </c>
      <c r="J29" s="4" t="n">
        <v>1352802.2</v>
      </c>
      <c r="K29" s="4" t="n">
        <v>239518.394</v>
      </c>
      <c r="L29" s="2" t="s">
        <v>30</v>
      </c>
      <c r="M29" s="2" t="s">
        <v>30</v>
      </c>
    </row>
    <row r="30" customFormat="false" ht="15" hidden="false" customHeight="false" outlineLevel="0" collapsed="false">
      <c r="A30" s="2" t="n">
        <v>1002229</v>
      </c>
      <c r="B30" s="2" t="s">
        <v>35</v>
      </c>
      <c r="C30" s="2" t="s">
        <v>36</v>
      </c>
      <c r="D30" s="2" t="n">
        <v>2010</v>
      </c>
      <c r="E30" s="2" t="s">
        <v>34</v>
      </c>
      <c r="F30" s="4" t="n">
        <v>1096913.472</v>
      </c>
      <c r="G30" s="4" t="n">
        <v>972737.8</v>
      </c>
      <c r="H30" s="4" t="n">
        <v>124009.422</v>
      </c>
      <c r="I30" s="4" t="n">
        <v>352878.32</v>
      </c>
      <c r="J30" s="4" t="n">
        <v>620223.9</v>
      </c>
      <c r="K30" s="4" t="n">
        <v>123811.252</v>
      </c>
      <c r="L30" s="2" t="s">
        <v>30</v>
      </c>
      <c r="M30" s="2" t="s">
        <v>30</v>
      </c>
    </row>
    <row r="31" customFormat="false" ht="15" hidden="false" customHeight="false" outlineLevel="0" collapsed="false">
      <c r="A31" s="2" t="n">
        <v>1002229</v>
      </c>
      <c r="B31" s="2" t="s">
        <v>35</v>
      </c>
      <c r="C31" s="2" t="s">
        <v>36</v>
      </c>
      <c r="D31" s="2" t="n">
        <v>2011</v>
      </c>
      <c r="E31" s="2" t="s">
        <v>34</v>
      </c>
      <c r="F31" s="4" t="n">
        <v>1461402.51</v>
      </c>
      <c r="G31" s="4" t="n">
        <v>1195343.7</v>
      </c>
      <c r="H31" s="4" t="n">
        <v>265844.31</v>
      </c>
      <c r="I31" s="4" t="n">
        <v>455604.784</v>
      </c>
      <c r="J31" s="4" t="n">
        <v>740209.1</v>
      </c>
      <c r="K31" s="4" t="n">
        <v>265588.626</v>
      </c>
      <c r="L31" s="2" t="s">
        <v>30</v>
      </c>
      <c r="M31" s="2" t="s">
        <v>30</v>
      </c>
    </row>
    <row r="32" customFormat="false" ht="15" hidden="false" customHeight="false" outlineLevel="0" collapsed="false">
      <c r="A32" s="2" t="n">
        <v>1002229</v>
      </c>
      <c r="B32" s="2" t="s">
        <v>35</v>
      </c>
      <c r="C32" s="2" t="s">
        <v>36</v>
      </c>
      <c r="D32" s="2" t="n">
        <v>2012</v>
      </c>
      <c r="E32" s="2" t="s">
        <v>34</v>
      </c>
      <c r="F32" s="4" t="n">
        <v>1343886.192</v>
      </c>
      <c r="G32" s="4" t="n">
        <v>1094280.4</v>
      </c>
      <c r="H32" s="4" t="n">
        <v>249412.292</v>
      </c>
      <c r="I32" s="4" t="n">
        <v>411003.352</v>
      </c>
      <c r="J32" s="4" t="n">
        <v>683701.2</v>
      </c>
      <c r="K32" s="4" t="n">
        <v>249181.64</v>
      </c>
      <c r="L32" s="2" t="s">
        <v>30</v>
      </c>
      <c r="M32" s="2" t="s">
        <v>30</v>
      </c>
    </row>
    <row r="33" customFormat="false" ht="15" hidden="false" customHeight="false" outlineLevel="0" collapsed="false">
      <c r="A33" s="2" t="n">
        <v>1002229</v>
      </c>
      <c r="B33" s="2" t="s">
        <v>35</v>
      </c>
      <c r="C33" s="2" t="s">
        <v>36</v>
      </c>
      <c r="D33" s="2" t="n">
        <v>2013</v>
      </c>
      <c r="E33" s="2" t="s">
        <v>34</v>
      </c>
      <c r="F33" s="4" t="n">
        <v>1301798.846</v>
      </c>
      <c r="G33" s="4" t="n">
        <v>1068852.3</v>
      </c>
      <c r="H33" s="4" t="n">
        <v>232783.296</v>
      </c>
      <c r="I33" s="4" t="n">
        <v>346648.644</v>
      </c>
      <c r="J33" s="4" t="n">
        <v>722561.5</v>
      </c>
      <c r="K33" s="4" t="n">
        <v>232588.702</v>
      </c>
      <c r="L33" s="2" t="s">
        <v>30</v>
      </c>
      <c r="M33" s="2" t="s">
        <v>30</v>
      </c>
    </row>
    <row r="34" customFormat="false" ht="15" hidden="false" customHeight="false" outlineLevel="0" collapsed="false">
      <c r="A34" s="2" t="n">
        <v>1002229</v>
      </c>
      <c r="B34" s="2" t="s">
        <v>35</v>
      </c>
      <c r="C34" s="2" t="s">
        <v>36</v>
      </c>
      <c r="D34" s="2" t="n">
        <v>2014</v>
      </c>
      <c r="E34" s="2" t="s">
        <v>34</v>
      </c>
      <c r="F34" s="4" t="n">
        <v>1407148.644</v>
      </c>
      <c r="G34" s="4" t="n">
        <v>1013530.3</v>
      </c>
      <c r="H34" s="4" t="n">
        <v>393442.844</v>
      </c>
      <c r="I34" s="4" t="n">
        <v>372832.296</v>
      </c>
      <c r="J34" s="4" t="n">
        <v>641082.7</v>
      </c>
      <c r="K34" s="4" t="n">
        <v>393233.648</v>
      </c>
      <c r="L34" s="2" t="s">
        <v>30</v>
      </c>
      <c r="M34" s="2" t="s">
        <v>30</v>
      </c>
    </row>
    <row r="35" customFormat="false" ht="15" hidden="false" customHeight="false" outlineLevel="0" collapsed="false">
      <c r="A35" s="2" t="n">
        <v>1002229</v>
      </c>
      <c r="B35" s="2" t="s">
        <v>35</v>
      </c>
      <c r="C35" s="2" t="s">
        <v>36</v>
      </c>
      <c r="D35" s="2" t="n">
        <v>2015</v>
      </c>
      <c r="E35" s="2" t="s">
        <v>34</v>
      </c>
      <c r="F35" s="4" t="n">
        <v>1174648.762</v>
      </c>
      <c r="G35" s="4" t="n">
        <v>962680</v>
      </c>
      <c r="H35" s="4" t="n">
        <v>211794.262</v>
      </c>
      <c r="I35" s="4" t="n">
        <v>370733.704</v>
      </c>
      <c r="J35" s="4" t="n">
        <v>592328.8</v>
      </c>
      <c r="K35" s="4" t="n">
        <v>211586.258</v>
      </c>
      <c r="L35" s="2" t="s">
        <v>30</v>
      </c>
      <c r="M35" s="2" t="s">
        <v>30</v>
      </c>
    </row>
    <row r="36" customFormat="false" ht="15" hidden="false" customHeight="false" outlineLevel="0" collapsed="false">
      <c r="A36" s="2" t="n">
        <v>1002229</v>
      </c>
      <c r="B36" s="2" t="s">
        <v>35</v>
      </c>
      <c r="C36" s="2" t="s">
        <v>36</v>
      </c>
      <c r="D36" s="2" t="n">
        <v>2016</v>
      </c>
      <c r="E36" s="2" t="s">
        <v>34</v>
      </c>
      <c r="F36" s="4" t="n">
        <v>1539757.806</v>
      </c>
      <c r="G36" s="4" t="n">
        <v>1274480.8</v>
      </c>
      <c r="H36" s="4" t="n">
        <v>265047.756</v>
      </c>
      <c r="I36" s="4" t="n">
        <v>487238.716</v>
      </c>
      <c r="J36" s="4" t="n">
        <v>787744.6</v>
      </c>
      <c r="K36" s="4" t="n">
        <v>264774.49</v>
      </c>
      <c r="L36" s="2" t="s">
        <v>30</v>
      </c>
      <c r="M36" s="2" t="s">
        <v>30</v>
      </c>
    </row>
    <row r="37" customFormat="false" ht="15" hidden="false" customHeight="false" outlineLevel="0" collapsed="false">
      <c r="A37" s="2" t="n">
        <v>1002229</v>
      </c>
      <c r="B37" s="2" t="s">
        <v>35</v>
      </c>
      <c r="C37" s="2" t="s">
        <v>36</v>
      </c>
      <c r="D37" s="2" t="n">
        <v>2017</v>
      </c>
      <c r="E37" s="2" t="s">
        <v>34</v>
      </c>
      <c r="F37" s="4" t="n">
        <v>1509004.346</v>
      </c>
      <c r="G37" s="4" t="n">
        <v>1253835</v>
      </c>
      <c r="H37" s="4" t="n">
        <v>254939.596</v>
      </c>
      <c r="I37" s="4" t="n">
        <v>487862.312</v>
      </c>
      <c r="J37" s="4" t="n">
        <v>766476.3</v>
      </c>
      <c r="K37" s="4" t="n">
        <v>254665.734</v>
      </c>
      <c r="L37" s="2" t="s">
        <v>30</v>
      </c>
      <c r="M37" s="2" t="s">
        <v>30</v>
      </c>
    </row>
    <row r="38" customFormat="false" ht="15" hidden="false" customHeight="false" outlineLevel="0" collapsed="false">
      <c r="A38" s="2" t="n">
        <v>1002229</v>
      </c>
      <c r="B38" s="2" t="s">
        <v>35</v>
      </c>
      <c r="C38" s="2" t="s">
        <v>36</v>
      </c>
      <c r="D38" s="2" t="n">
        <v>2018</v>
      </c>
      <c r="E38" s="2" t="s">
        <v>34</v>
      </c>
      <c r="F38" s="4" t="n">
        <v>1622211.538</v>
      </c>
      <c r="G38" s="4" t="n">
        <v>1334389.5</v>
      </c>
      <c r="H38" s="4" t="n">
        <v>287571.788</v>
      </c>
      <c r="I38" s="4" t="n">
        <v>531493.948</v>
      </c>
      <c r="J38" s="4" t="n">
        <v>803444.1</v>
      </c>
      <c r="K38" s="4" t="n">
        <v>287273.49</v>
      </c>
      <c r="L38" s="2" t="s">
        <v>30</v>
      </c>
      <c r="M38" s="2" t="s">
        <v>30</v>
      </c>
    </row>
    <row r="39" customFormat="false" ht="15" hidden="false" customHeight="false" outlineLevel="0" collapsed="false">
      <c r="A39" s="2" t="n">
        <v>1002229</v>
      </c>
      <c r="B39" s="2" t="s">
        <v>35</v>
      </c>
      <c r="C39" s="2" t="s">
        <v>36</v>
      </c>
      <c r="D39" s="2" t="n">
        <v>2019</v>
      </c>
      <c r="E39" s="2" t="s">
        <v>34</v>
      </c>
      <c r="F39" s="4" t="n">
        <v>1502337.474</v>
      </c>
      <c r="G39" s="4" t="n">
        <v>1336378.5</v>
      </c>
      <c r="H39" s="4" t="n">
        <v>165714.224</v>
      </c>
      <c r="I39" s="4" t="n">
        <v>519913.592</v>
      </c>
      <c r="J39" s="4" t="n">
        <v>817001.4</v>
      </c>
      <c r="K39" s="4" t="n">
        <v>165422.482</v>
      </c>
      <c r="L39" s="2" t="s">
        <v>30</v>
      </c>
      <c r="M39" s="2" t="s">
        <v>30</v>
      </c>
    </row>
    <row r="40" customFormat="false" ht="15" hidden="false" customHeight="false" outlineLevel="0" collapsed="false">
      <c r="A40" s="2" t="n">
        <v>1002229</v>
      </c>
      <c r="B40" s="2" t="s">
        <v>35</v>
      </c>
      <c r="C40" s="2" t="s">
        <v>36</v>
      </c>
      <c r="D40" s="2" t="n">
        <v>2020</v>
      </c>
      <c r="E40" s="2" t="s">
        <v>34</v>
      </c>
      <c r="F40" s="4" t="n">
        <v>1416352.07</v>
      </c>
      <c r="G40" s="4" t="n">
        <v>1169566</v>
      </c>
      <c r="H40" s="4" t="n">
        <v>246584.57</v>
      </c>
      <c r="I40" s="4" t="n">
        <v>428221.088</v>
      </c>
      <c r="J40" s="4" t="n">
        <v>741786.6</v>
      </c>
      <c r="K40" s="4" t="n">
        <v>246344.382</v>
      </c>
      <c r="L40" s="2" t="s">
        <v>30</v>
      </c>
      <c r="M40" s="2" t="s">
        <v>30</v>
      </c>
    </row>
    <row r="41" customFormat="false" ht="15" hidden="false" customHeight="false" outlineLevel="0" collapsed="false">
      <c r="A41" s="2" t="n">
        <v>1002229</v>
      </c>
      <c r="B41" s="2" t="s">
        <v>35</v>
      </c>
      <c r="C41" s="2" t="s">
        <v>36</v>
      </c>
      <c r="D41" s="2" t="n">
        <v>2021</v>
      </c>
      <c r="E41" s="2" t="s">
        <v>34</v>
      </c>
      <c r="F41" s="4" t="n">
        <v>1730840.732</v>
      </c>
      <c r="G41" s="4" t="n">
        <v>1383886.9</v>
      </c>
      <c r="H41" s="4" t="n">
        <v>346740.582</v>
      </c>
      <c r="I41" s="4" t="n">
        <v>453022.744</v>
      </c>
      <c r="J41" s="4" t="n">
        <v>931331.6</v>
      </c>
      <c r="K41" s="4" t="n">
        <v>346486.388</v>
      </c>
      <c r="L41" s="2" t="s">
        <v>30</v>
      </c>
      <c r="M41" s="2" t="s">
        <v>30</v>
      </c>
    </row>
    <row r="42" customFormat="false" ht="15" hidden="false" customHeight="false" outlineLevel="0" collapsed="false">
      <c r="A42" s="2" t="n">
        <v>1002229</v>
      </c>
      <c r="B42" s="2" t="s">
        <v>35</v>
      </c>
      <c r="C42" s="2" t="s">
        <v>36</v>
      </c>
      <c r="D42" s="2" t="n">
        <v>2022</v>
      </c>
      <c r="E42" s="2" t="s">
        <v>34</v>
      </c>
      <c r="F42" s="4" t="n">
        <v>1541264.952</v>
      </c>
      <c r="G42" s="4" t="n">
        <v>1386827.2</v>
      </c>
      <c r="H42" s="4" t="n">
        <v>154207.252</v>
      </c>
      <c r="I42" s="4" t="n">
        <v>489968.556</v>
      </c>
      <c r="J42" s="4" t="n">
        <v>897363.9</v>
      </c>
      <c r="K42" s="4" t="n">
        <v>153932.496</v>
      </c>
      <c r="L42" s="2" t="s">
        <v>30</v>
      </c>
      <c r="M42" s="2" t="s">
        <v>30</v>
      </c>
    </row>
    <row r="43" customFormat="false" ht="15" hidden="false" customHeight="false" outlineLevel="0" collapsed="false">
      <c r="A43" s="2" t="n">
        <v>1002229</v>
      </c>
      <c r="B43" s="2" t="s">
        <v>35</v>
      </c>
      <c r="C43" s="2" t="s">
        <v>36</v>
      </c>
      <c r="D43" s="2" t="n">
        <v>2023</v>
      </c>
      <c r="E43" s="2" t="s">
        <v>34</v>
      </c>
      <c r="F43" s="4" t="n">
        <v>1370574.774</v>
      </c>
      <c r="G43" s="4" t="n">
        <v>1369912</v>
      </c>
      <c r="H43" s="4" t="n">
        <v>428.524</v>
      </c>
      <c r="I43" s="4" t="n">
        <v>497879.076</v>
      </c>
      <c r="J43" s="4" t="n">
        <v>872546.4</v>
      </c>
      <c r="K43" s="4" t="n">
        <v>149.298</v>
      </c>
      <c r="L43" s="2" t="s">
        <v>30</v>
      </c>
      <c r="M43" s="2" t="s">
        <v>30</v>
      </c>
    </row>
    <row r="44" customFormat="false" ht="15" hidden="false" customHeight="false" outlineLevel="0" collapsed="false">
      <c r="A44" s="2" t="n">
        <v>1002275</v>
      </c>
      <c r="B44" s="2" t="s">
        <v>37</v>
      </c>
      <c r="C44" s="2" t="s">
        <v>38</v>
      </c>
      <c r="D44" s="2" t="n">
        <v>2010</v>
      </c>
      <c r="E44" s="2" t="s">
        <v>34</v>
      </c>
      <c r="F44" s="4" t="n">
        <v>3207826.12</v>
      </c>
      <c r="G44" s="4" t="n">
        <v>2113836</v>
      </c>
      <c r="H44" s="4" t="n">
        <v>1093567.62</v>
      </c>
      <c r="I44" s="4" t="n">
        <v>897004.12</v>
      </c>
      <c r="J44" s="4" t="n">
        <v>1217758</v>
      </c>
      <c r="K44" s="4" t="n">
        <v>1093064</v>
      </c>
      <c r="L44" s="2" t="s">
        <v>30</v>
      </c>
      <c r="M44" s="2" t="s">
        <v>30</v>
      </c>
    </row>
    <row r="45" customFormat="false" ht="15" hidden="false" customHeight="false" outlineLevel="0" collapsed="false">
      <c r="A45" s="2" t="n">
        <v>1002275</v>
      </c>
      <c r="B45" s="2" t="s">
        <v>37</v>
      </c>
      <c r="C45" s="2" t="s">
        <v>38</v>
      </c>
      <c r="D45" s="2" t="n">
        <v>2011</v>
      </c>
      <c r="E45" s="2" t="s">
        <v>34</v>
      </c>
      <c r="F45" s="4" t="n">
        <v>3251317.74</v>
      </c>
      <c r="G45" s="4" t="n">
        <v>2198645</v>
      </c>
      <c r="H45" s="4" t="n">
        <v>1052202.24</v>
      </c>
      <c r="I45" s="4" t="n">
        <v>998693.44</v>
      </c>
      <c r="J45" s="4" t="n">
        <v>1200982.3</v>
      </c>
      <c r="K45" s="4" t="n">
        <v>1051642</v>
      </c>
      <c r="L45" s="2" t="s">
        <v>30</v>
      </c>
      <c r="M45" s="2" t="s">
        <v>30</v>
      </c>
    </row>
    <row r="46" customFormat="false" ht="15" hidden="false" customHeight="false" outlineLevel="0" collapsed="false">
      <c r="A46" s="2" t="n">
        <v>1002275</v>
      </c>
      <c r="B46" s="2" t="s">
        <v>37</v>
      </c>
      <c r="C46" s="2" t="s">
        <v>38</v>
      </c>
      <c r="D46" s="2" t="n">
        <v>2012</v>
      </c>
      <c r="E46" s="2" t="s">
        <v>34</v>
      </c>
      <c r="F46" s="4" t="n">
        <v>3237050.03</v>
      </c>
      <c r="G46" s="4" t="n">
        <v>2193625.5</v>
      </c>
      <c r="H46" s="4" t="n">
        <v>1042958.28</v>
      </c>
      <c r="I46" s="4" t="n">
        <v>989657.33</v>
      </c>
      <c r="J46" s="4" t="n">
        <v>1204988.7</v>
      </c>
      <c r="K46" s="4" t="n">
        <v>1042404</v>
      </c>
      <c r="L46" s="2" t="s">
        <v>30</v>
      </c>
      <c r="M46" s="2" t="s">
        <v>30</v>
      </c>
    </row>
    <row r="47" customFormat="false" ht="15" hidden="false" customHeight="false" outlineLevel="0" collapsed="false">
      <c r="A47" s="2" t="n">
        <v>1002275</v>
      </c>
      <c r="B47" s="2" t="s">
        <v>37</v>
      </c>
      <c r="C47" s="2" t="s">
        <v>38</v>
      </c>
      <c r="D47" s="2" t="n">
        <v>2013</v>
      </c>
      <c r="E47" s="2" t="s">
        <v>34</v>
      </c>
      <c r="F47" s="4" t="n">
        <v>3301273</v>
      </c>
      <c r="G47" s="4" t="n">
        <v>2116522</v>
      </c>
      <c r="H47" s="4" t="n">
        <v>1184252</v>
      </c>
      <c r="I47" s="4" t="n">
        <v>1060194</v>
      </c>
      <c r="J47" s="4" t="n">
        <v>1057423</v>
      </c>
      <c r="K47" s="4" t="n">
        <v>1183656</v>
      </c>
      <c r="L47" s="2" t="s">
        <v>30</v>
      </c>
      <c r="M47" s="2" t="s">
        <v>30</v>
      </c>
    </row>
    <row r="48" customFormat="false" ht="15" hidden="false" customHeight="false" outlineLevel="0" collapsed="false">
      <c r="A48" s="2" t="n">
        <v>1002275</v>
      </c>
      <c r="B48" s="2" t="s">
        <v>37</v>
      </c>
      <c r="C48" s="2" t="s">
        <v>38</v>
      </c>
      <c r="D48" s="2" t="n">
        <v>2014</v>
      </c>
      <c r="E48" s="2" t="s">
        <v>34</v>
      </c>
      <c r="F48" s="4" t="n">
        <v>3577313.802</v>
      </c>
      <c r="G48" s="4" t="n">
        <v>2070026.2</v>
      </c>
      <c r="H48" s="4" t="n">
        <v>1506814.352</v>
      </c>
      <c r="I48" s="4" t="n">
        <v>1005500.164</v>
      </c>
      <c r="J48" s="4" t="n">
        <v>1065563.4</v>
      </c>
      <c r="K48" s="4" t="n">
        <v>1506250.238</v>
      </c>
      <c r="L48" s="2" t="s">
        <v>30</v>
      </c>
      <c r="M48" s="2" t="s">
        <v>30</v>
      </c>
    </row>
    <row r="49" customFormat="false" ht="15" hidden="false" customHeight="false" outlineLevel="0" collapsed="false">
      <c r="A49" s="2" t="n">
        <v>1002275</v>
      </c>
      <c r="B49" s="2" t="s">
        <v>37</v>
      </c>
      <c r="C49" s="2" t="s">
        <v>38</v>
      </c>
      <c r="D49" s="2" t="n">
        <v>2015</v>
      </c>
      <c r="E49" s="2" t="s">
        <v>34</v>
      </c>
      <c r="F49" s="4" t="n">
        <v>3553157.968</v>
      </c>
      <c r="G49" s="4" t="n">
        <v>2010712.4</v>
      </c>
      <c r="H49" s="4" t="n">
        <v>1541961.068</v>
      </c>
      <c r="I49" s="4" t="n">
        <v>1029541.024</v>
      </c>
      <c r="J49" s="4" t="n">
        <v>982233.4</v>
      </c>
      <c r="K49" s="4" t="n">
        <v>1541383.544</v>
      </c>
      <c r="L49" s="2" t="s">
        <v>30</v>
      </c>
      <c r="M49" s="2" t="s">
        <v>30</v>
      </c>
    </row>
    <row r="50" customFormat="false" ht="15" hidden="false" customHeight="false" outlineLevel="0" collapsed="false">
      <c r="A50" s="2" t="n">
        <v>1002275</v>
      </c>
      <c r="B50" s="2" t="s">
        <v>37</v>
      </c>
      <c r="C50" s="2" t="s">
        <v>38</v>
      </c>
      <c r="D50" s="2" t="n">
        <v>2016</v>
      </c>
      <c r="E50" s="2" t="s">
        <v>34</v>
      </c>
      <c r="F50" s="4" t="n">
        <v>3441887.08</v>
      </c>
      <c r="G50" s="4" t="n">
        <v>2065729</v>
      </c>
      <c r="H50" s="4" t="n">
        <v>1375705.08</v>
      </c>
      <c r="I50" s="4" t="n">
        <v>962485.676</v>
      </c>
      <c r="J50" s="4" t="n">
        <v>1104236.3</v>
      </c>
      <c r="K50" s="4" t="n">
        <v>1375165.104</v>
      </c>
      <c r="L50" s="2" t="s">
        <v>30</v>
      </c>
      <c r="M50" s="2" t="s">
        <v>30</v>
      </c>
    </row>
    <row r="51" customFormat="false" ht="15" hidden="false" customHeight="false" outlineLevel="0" collapsed="false">
      <c r="A51" s="2" t="n">
        <v>1002275</v>
      </c>
      <c r="B51" s="2" t="s">
        <v>37</v>
      </c>
      <c r="C51" s="2" t="s">
        <v>38</v>
      </c>
      <c r="D51" s="2" t="n">
        <v>2017</v>
      </c>
      <c r="E51" s="2" t="s">
        <v>34</v>
      </c>
      <c r="F51" s="4" t="n">
        <v>3970696.974</v>
      </c>
      <c r="G51" s="4" t="n">
        <v>2294003.7</v>
      </c>
      <c r="H51" s="4" t="n">
        <v>1676231.524</v>
      </c>
      <c r="I51" s="4" t="n">
        <v>980967.356</v>
      </c>
      <c r="J51" s="4" t="n">
        <v>1314048.5</v>
      </c>
      <c r="K51" s="4" t="n">
        <v>1675681.118</v>
      </c>
      <c r="L51" s="2" t="s">
        <v>30</v>
      </c>
      <c r="M51" s="2" t="s">
        <v>30</v>
      </c>
    </row>
    <row r="52" customFormat="false" ht="15" hidden="false" customHeight="false" outlineLevel="0" collapsed="false">
      <c r="A52" s="2" t="n">
        <v>1002275</v>
      </c>
      <c r="B52" s="2" t="s">
        <v>37</v>
      </c>
      <c r="C52" s="2" t="s">
        <v>38</v>
      </c>
      <c r="D52" s="2" t="n">
        <v>2018</v>
      </c>
      <c r="E52" s="2" t="s">
        <v>34</v>
      </c>
      <c r="F52" s="4" t="n">
        <v>3869564.372</v>
      </c>
      <c r="G52" s="4" t="n">
        <v>2223728.5</v>
      </c>
      <c r="H52" s="4" t="n">
        <v>1645381.372</v>
      </c>
      <c r="I52" s="4" t="n">
        <v>965492.664</v>
      </c>
      <c r="J52" s="4" t="n">
        <v>1259232.1</v>
      </c>
      <c r="K52" s="4" t="n">
        <v>1644839.608</v>
      </c>
      <c r="L52" s="2" t="s">
        <v>30</v>
      </c>
      <c r="M52" s="2" t="s">
        <v>30</v>
      </c>
    </row>
    <row r="53" customFormat="false" ht="15" hidden="false" customHeight="false" outlineLevel="0" collapsed="false">
      <c r="A53" s="2" t="n">
        <v>1002275</v>
      </c>
      <c r="B53" s="2" t="s">
        <v>37</v>
      </c>
      <c r="C53" s="2" t="s">
        <v>38</v>
      </c>
      <c r="D53" s="2" t="n">
        <v>2019</v>
      </c>
      <c r="E53" s="2" t="s">
        <v>34</v>
      </c>
      <c r="F53" s="4" t="n">
        <v>3564162.928</v>
      </c>
      <c r="G53" s="4" t="n">
        <v>2075193.4</v>
      </c>
      <c r="H53" s="4" t="n">
        <v>1488550.528</v>
      </c>
      <c r="I53" s="4" t="n">
        <v>890306.148</v>
      </c>
      <c r="J53" s="4" t="n">
        <v>1185805.7</v>
      </c>
      <c r="K53" s="4" t="n">
        <v>1488051.08</v>
      </c>
      <c r="L53" s="2" t="s">
        <v>30</v>
      </c>
      <c r="M53" s="2" t="s">
        <v>30</v>
      </c>
    </row>
    <row r="54" customFormat="false" ht="15" hidden="false" customHeight="false" outlineLevel="0" collapsed="false">
      <c r="A54" s="2" t="n">
        <v>1002275</v>
      </c>
      <c r="B54" s="2" t="s">
        <v>37</v>
      </c>
      <c r="C54" s="2" t="s">
        <v>38</v>
      </c>
      <c r="D54" s="2" t="n">
        <v>2020</v>
      </c>
      <c r="E54" s="2" t="s">
        <v>34</v>
      </c>
      <c r="F54" s="4" t="n">
        <v>3776285.064</v>
      </c>
      <c r="G54" s="4" t="n">
        <v>2273412.5</v>
      </c>
      <c r="H54" s="4" t="n">
        <v>1502417.064</v>
      </c>
      <c r="I54" s="4" t="n">
        <v>967626.056</v>
      </c>
      <c r="J54" s="4" t="n">
        <v>1306784.9</v>
      </c>
      <c r="K54" s="4" t="n">
        <v>1501874.108</v>
      </c>
      <c r="L54" s="2" t="s">
        <v>30</v>
      </c>
      <c r="M54" s="2" t="s">
        <v>30</v>
      </c>
    </row>
    <row r="55" customFormat="false" ht="15" hidden="false" customHeight="false" outlineLevel="0" collapsed="false">
      <c r="A55" s="2" t="n">
        <v>1002275</v>
      </c>
      <c r="B55" s="2" t="s">
        <v>37</v>
      </c>
      <c r="C55" s="2" t="s">
        <v>38</v>
      </c>
      <c r="D55" s="2" t="n">
        <v>2021</v>
      </c>
      <c r="E55" s="2" t="s">
        <v>34</v>
      </c>
      <c r="F55" s="4" t="n">
        <v>2808146.346</v>
      </c>
      <c r="G55" s="4" t="n">
        <v>2048312.7</v>
      </c>
      <c r="H55" s="4" t="n">
        <v>759408.896</v>
      </c>
      <c r="I55" s="4" t="n">
        <v>902289.752</v>
      </c>
      <c r="J55" s="4" t="n">
        <v>1146954</v>
      </c>
      <c r="K55" s="4" t="n">
        <v>758902.594</v>
      </c>
      <c r="L55" s="2" t="s">
        <v>30</v>
      </c>
      <c r="M55" s="2" t="s">
        <v>30</v>
      </c>
    </row>
    <row r="56" customFormat="false" ht="15" hidden="false" customHeight="false" outlineLevel="0" collapsed="false">
      <c r="A56" s="2" t="n">
        <v>1002275</v>
      </c>
      <c r="B56" s="2" t="s">
        <v>37</v>
      </c>
      <c r="C56" s="2" t="s">
        <v>38</v>
      </c>
      <c r="D56" s="2" t="n">
        <v>2022</v>
      </c>
      <c r="E56" s="2" t="s">
        <v>34</v>
      </c>
      <c r="F56" s="4" t="n">
        <v>3698601.678</v>
      </c>
      <c r="G56" s="4" t="n">
        <v>2226326.9</v>
      </c>
      <c r="H56" s="4" t="n">
        <v>1471825.278</v>
      </c>
      <c r="I56" s="4" t="n">
        <v>955035.304</v>
      </c>
      <c r="J56" s="4" t="n">
        <v>1272276.9</v>
      </c>
      <c r="K56" s="4" t="n">
        <v>1471289.474</v>
      </c>
      <c r="L56" s="2" t="s">
        <v>30</v>
      </c>
      <c r="M56" s="2" t="s">
        <v>30</v>
      </c>
    </row>
    <row r="57" customFormat="false" ht="15" hidden="false" customHeight="false" outlineLevel="0" collapsed="false">
      <c r="A57" s="2" t="n">
        <v>1002275</v>
      </c>
      <c r="B57" s="2" t="s">
        <v>37</v>
      </c>
      <c r="C57" s="2" t="s">
        <v>38</v>
      </c>
      <c r="D57" s="2" t="n">
        <v>2023</v>
      </c>
      <c r="E57" s="2" t="s">
        <v>34</v>
      </c>
      <c r="F57" s="4" t="n">
        <v>3354662.502</v>
      </c>
      <c r="G57" s="4" t="n">
        <v>2106706.9</v>
      </c>
      <c r="H57" s="4" t="n">
        <v>1247517.102</v>
      </c>
      <c r="I57" s="4" t="n">
        <v>931554.092</v>
      </c>
      <c r="J57" s="4" t="n">
        <v>1176114</v>
      </c>
      <c r="K57" s="4" t="n">
        <v>1246994.41</v>
      </c>
      <c r="L57" s="2" t="s">
        <v>30</v>
      </c>
      <c r="M57" s="2" t="s">
        <v>30</v>
      </c>
    </row>
    <row r="58" customFormat="false" ht="15" hidden="false" customHeight="false" outlineLevel="0" collapsed="false">
      <c r="A58" s="2" t="n">
        <v>1002301</v>
      </c>
      <c r="B58" s="2" t="s">
        <v>39</v>
      </c>
      <c r="C58" s="2" t="s">
        <v>40</v>
      </c>
      <c r="D58" s="2" t="n">
        <v>2010</v>
      </c>
      <c r="E58" s="2" t="s">
        <v>34</v>
      </c>
      <c r="F58" s="4" t="n">
        <v>6449000.132</v>
      </c>
      <c r="G58" s="4" t="n">
        <v>5303145.9</v>
      </c>
      <c r="H58" s="4" t="n">
        <v>1144836.732</v>
      </c>
      <c r="I58" s="4" t="n">
        <v>2159679.46</v>
      </c>
      <c r="J58" s="4" t="n">
        <v>3145696.8</v>
      </c>
      <c r="K58" s="4" t="n">
        <v>1143623.872</v>
      </c>
      <c r="L58" s="2" t="s">
        <v>30</v>
      </c>
      <c r="M58" s="2" t="s">
        <v>30</v>
      </c>
    </row>
    <row r="59" customFormat="false" ht="15" hidden="false" customHeight="false" outlineLevel="0" collapsed="false">
      <c r="A59" s="2" t="n">
        <v>1002301</v>
      </c>
      <c r="B59" s="2" t="s">
        <v>39</v>
      </c>
      <c r="C59" s="2" t="s">
        <v>40</v>
      </c>
      <c r="D59" s="2" t="n">
        <v>2011</v>
      </c>
      <c r="E59" s="2" t="s">
        <v>34</v>
      </c>
      <c r="F59" s="4" t="n">
        <v>6438066.708</v>
      </c>
      <c r="G59" s="4" t="n">
        <v>5326035.1</v>
      </c>
      <c r="H59" s="4" t="n">
        <v>1111009.858</v>
      </c>
      <c r="I59" s="4" t="n">
        <v>2169662.476</v>
      </c>
      <c r="J59" s="4" t="n">
        <v>3158612.3</v>
      </c>
      <c r="K59" s="4" t="n">
        <v>1109791.932</v>
      </c>
      <c r="L59" s="2" t="s">
        <v>30</v>
      </c>
      <c r="M59" s="2" t="s">
        <v>30</v>
      </c>
    </row>
    <row r="60" customFormat="false" ht="15" hidden="false" customHeight="false" outlineLevel="0" collapsed="false">
      <c r="A60" s="2" t="n">
        <v>1002301</v>
      </c>
      <c r="B60" s="2" t="s">
        <v>39</v>
      </c>
      <c r="C60" s="2" t="s">
        <v>40</v>
      </c>
      <c r="D60" s="2" t="n">
        <v>2012</v>
      </c>
      <c r="E60" s="2" t="s">
        <v>34</v>
      </c>
      <c r="F60" s="4" t="n">
        <v>6854461.604</v>
      </c>
      <c r="G60" s="4" t="n">
        <v>5201108.3</v>
      </c>
      <c r="H60" s="4" t="n">
        <v>1652349.804</v>
      </c>
      <c r="I60" s="4" t="n">
        <v>2130532.172</v>
      </c>
      <c r="J60" s="4" t="n">
        <v>3072775.8</v>
      </c>
      <c r="K60" s="4" t="n">
        <v>1651153.632</v>
      </c>
      <c r="L60" s="2" t="s">
        <v>30</v>
      </c>
      <c r="M60" s="2" t="s">
        <v>30</v>
      </c>
    </row>
    <row r="61" customFormat="false" ht="15" hidden="false" customHeight="false" outlineLevel="0" collapsed="false">
      <c r="A61" s="2" t="n">
        <v>1002301</v>
      </c>
      <c r="B61" s="2" t="s">
        <v>39</v>
      </c>
      <c r="C61" s="2" t="s">
        <v>40</v>
      </c>
      <c r="D61" s="2" t="n">
        <v>2013</v>
      </c>
      <c r="E61" s="2" t="s">
        <v>34</v>
      </c>
      <c r="F61" s="4" t="n">
        <v>6921307.324</v>
      </c>
      <c r="G61" s="4" t="n">
        <v>5312448.6</v>
      </c>
      <c r="H61" s="4" t="n">
        <v>1607847.974</v>
      </c>
      <c r="I61" s="4" t="n">
        <v>2147449.264</v>
      </c>
      <c r="J61" s="4" t="n">
        <v>3167214.9</v>
      </c>
      <c r="K61" s="4" t="n">
        <v>1606643.16</v>
      </c>
      <c r="L61" s="2" t="s">
        <v>30</v>
      </c>
      <c r="M61" s="2" t="s">
        <v>30</v>
      </c>
    </row>
    <row r="62" customFormat="false" ht="15" hidden="false" customHeight="false" outlineLevel="0" collapsed="false">
      <c r="A62" s="2" t="n">
        <v>1002301</v>
      </c>
      <c r="B62" s="2" t="s">
        <v>39</v>
      </c>
      <c r="C62" s="2" t="s">
        <v>40</v>
      </c>
      <c r="D62" s="2" t="n">
        <v>2014</v>
      </c>
      <c r="E62" s="2" t="s">
        <v>34</v>
      </c>
      <c r="F62" s="4" t="n">
        <v>6716321.032</v>
      </c>
      <c r="G62" s="4" t="n">
        <v>5388578.5</v>
      </c>
      <c r="H62" s="4" t="n">
        <v>1326721.032</v>
      </c>
      <c r="I62" s="4" t="n">
        <v>2169798.228</v>
      </c>
      <c r="J62" s="4" t="n">
        <v>3221019.4</v>
      </c>
      <c r="K62" s="4" t="n">
        <v>1325503.404</v>
      </c>
      <c r="L62" s="2" t="s">
        <v>30</v>
      </c>
      <c r="M62" s="2" t="s">
        <v>30</v>
      </c>
    </row>
    <row r="63" customFormat="false" ht="15" hidden="false" customHeight="false" outlineLevel="0" collapsed="false">
      <c r="A63" s="2" t="n">
        <v>1002301</v>
      </c>
      <c r="B63" s="2" t="s">
        <v>39</v>
      </c>
      <c r="C63" s="2" t="s">
        <v>40</v>
      </c>
      <c r="D63" s="2" t="n">
        <v>2015</v>
      </c>
      <c r="E63" s="2" t="s">
        <v>34</v>
      </c>
      <c r="F63" s="4" t="n">
        <v>7985546.136</v>
      </c>
      <c r="G63" s="4" t="n">
        <v>5663577.5</v>
      </c>
      <c r="H63" s="4" t="n">
        <v>2320893.136</v>
      </c>
      <c r="I63" s="4" t="n">
        <v>2285290.596</v>
      </c>
      <c r="J63" s="4" t="n">
        <v>3380644.4</v>
      </c>
      <c r="K63" s="4" t="n">
        <v>2319611.14</v>
      </c>
      <c r="L63" s="2" t="s">
        <v>30</v>
      </c>
      <c r="M63" s="2" t="s">
        <v>30</v>
      </c>
    </row>
    <row r="64" customFormat="false" ht="15" hidden="false" customHeight="false" outlineLevel="0" collapsed="false">
      <c r="A64" s="2" t="n">
        <v>1002301</v>
      </c>
      <c r="B64" s="2" t="s">
        <v>39</v>
      </c>
      <c r="C64" s="2" t="s">
        <v>40</v>
      </c>
      <c r="D64" s="2" t="n">
        <v>2016</v>
      </c>
      <c r="E64" s="2" t="s">
        <v>33</v>
      </c>
      <c r="F64" s="4" t="n">
        <v>7829243.008</v>
      </c>
      <c r="G64" s="4" t="n">
        <v>6314632.4</v>
      </c>
      <c r="H64" s="4" t="n">
        <v>1513384.358</v>
      </c>
      <c r="I64" s="4" t="n">
        <v>2604845.24</v>
      </c>
      <c r="J64" s="4" t="n">
        <v>3712475.1</v>
      </c>
      <c r="K64" s="4" t="n">
        <v>1511922.668</v>
      </c>
      <c r="L64" s="2" t="s">
        <v>30</v>
      </c>
      <c r="M64" s="2" t="s">
        <v>29</v>
      </c>
    </row>
    <row r="65" customFormat="false" ht="15" hidden="false" customHeight="false" outlineLevel="0" collapsed="false">
      <c r="A65" s="2" t="n">
        <v>1002301</v>
      </c>
      <c r="B65" s="2" t="s">
        <v>39</v>
      </c>
      <c r="C65" s="2" t="s">
        <v>40</v>
      </c>
      <c r="D65" s="2" t="n">
        <v>2017</v>
      </c>
      <c r="E65" s="2" t="s">
        <v>33</v>
      </c>
      <c r="F65" s="4" t="n">
        <v>8730636.156</v>
      </c>
      <c r="G65" s="4" t="n">
        <v>7787715.1</v>
      </c>
      <c r="H65" s="4" t="n">
        <v>941537.556</v>
      </c>
      <c r="I65" s="4" t="n">
        <v>2939791.432</v>
      </c>
      <c r="J65" s="4" t="n">
        <v>4850956.3</v>
      </c>
      <c r="K65" s="4" t="n">
        <v>939888.424</v>
      </c>
      <c r="L65" s="2" t="s">
        <v>30</v>
      </c>
      <c r="M65" s="2" t="s">
        <v>29</v>
      </c>
    </row>
    <row r="66" customFormat="false" ht="15" hidden="false" customHeight="false" outlineLevel="0" collapsed="false">
      <c r="A66" s="2" t="n">
        <v>1002301</v>
      </c>
      <c r="B66" s="2" t="s">
        <v>39</v>
      </c>
      <c r="C66" s="2" t="s">
        <v>40</v>
      </c>
      <c r="D66" s="2" t="n">
        <v>2018</v>
      </c>
      <c r="E66" s="2" t="s">
        <v>33</v>
      </c>
      <c r="F66" s="4" t="n">
        <v>8685862.008</v>
      </c>
      <c r="G66" s="4" t="n">
        <v>7484069.7</v>
      </c>
      <c r="H66" s="4" t="n">
        <v>1200454.558</v>
      </c>
      <c r="I66" s="4" t="n">
        <v>2841007.548</v>
      </c>
      <c r="J66" s="4" t="n">
        <v>4645994.5</v>
      </c>
      <c r="K66" s="4" t="n">
        <v>1198859.96</v>
      </c>
      <c r="L66" s="2" t="s">
        <v>30</v>
      </c>
      <c r="M66" s="2" t="s">
        <v>29</v>
      </c>
    </row>
    <row r="67" customFormat="false" ht="15" hidden="false" customHeight="false" outlineLevel="0" collapsed="false">
      <c r="A67" s="2" t="n">
        <v>1002301</v>
      </c>
      <c r="B67" s="2" t="s">
        <v>39</v>
      </c>
      <c r="C67" s="2" t="s">
        <v>40</v>
      </c>
      <c r="D67" s="2" t="n">
        <v>2019</v>
      </c>
      <c r="E67" s="2" t="s">
        <v>33</v>
      </c>
      <c r="F67" s="4" t="n">
        <v>10005456.448</v>
      </c>
      <c r="G67" s="4" t="n">
        <v>8016286</v>
      </c>
      <c r="H67" s="4" t="n">
        <v>1987749.698</v>
      </c>
      <c r="I67" s="4" t="n">
        <v>3018478.884</v>
      </c>
      <c r="J67" s="4" t="n">
        <v>5000921.4</v>
      </c>
      <c r="K67" s="4" t="n">
        <v>1986056.164</v>
      </c>
      <c r="L67" s="2" t="s">
        <v>30</v>
      </c>
      <c r="M67" s="2" t="s">
        <v>29</v>
      </c>
    </row>
    <row r="68" customFormat="false" ht="15" hidden="false" customHeight="false" outlineLevel="0" collapsed="false">
      <c r="A68" s="2" t="n">
        <v>1002301</v>
      </c>
      <c r="B68" s="2" t="s">
        <v>39</v>
      </c>
      <c r="C68" s="2" t="s">
        <v>40</v>
      </c>
      <c r="D68" s="2" t="n">
        <v>2020</v>
      </c>
      <c r="E68" s="2" t="s">
        <v>33</v>
      </c>
      <c r="F68" s="4" t="n">
        <v>9236777.668</v>
      </c>
      <c r="G68" s="4" t="n">
        <v>7649699.4</v>
      </c>
      <c r="H68" s="4" t="n">
        <v>1585700.018</v>
      </c>
      <c r="I68" s="4" t="n">
        <v>2928091.224</v>
      </c>
      <c r="J68" s="4" t="n">
        <v>4724629.3</v>
      </c>
      <c r="K68" s="4" t="n">
        <v>1584057.144</v>
      </c>
      <c r="L68" s="2" t="s">
        <v>30</v>
      </c>
      <c r="M68" s="2" t="s">
        <v>29</v>
      </c>
    </row>
    <row r="69" customFormat="false" ht="15" hidden="false" customHeight="false" outlineLevel="0" collapsed="false">
      <c r="A69" s="2" t="n">
        <v>1002301</v>
      </c>
      <c r="B69" s="2" t="s">
        <v>39</v>
      </c>
      <c r="C69" s="2" t="s">
        <v>40</v>
      </c>
      <c r="D69" s="2" t="n">
        <v>2021</v>
      </c>
      <c r="E69" s="2" t="s">
        <v>33</v>
      </c>
      <c r="F69" s="4" t="n">
        <v>9052754.262</v>
      </c>
      <c r="G69" s="4" t="n">
        <v>7206879.8</v>
      </c>
      <c r="H69" s="4" t="n">
        <v>1844580.962</v>
      </c>
      <c r="I69" s="4" t="n">
        <v>2747799.252</v>
      </c>
      <c r="J69" s="4" t="n">
        <v>4461915.9</v>
      </c>
      <c r="K69" s="4" t="n">
        <v>1843039.11</v>
      </c>
      <c r="L69" s="2" t="s">
        <v>30</v>
      </c>
      <c r="M69" s="2" t="s">
        <v>29</v>
      </c>
    </row>
    <row r="70" customFormat="false" ht="15" hidden="false" customHeight="false" outlineLevel="0" collapsed="false">
      <c r="A70" s="2" t="n">
        <v>1002301</v>
      </c>
      <c r="B70" s="2" t="s">
        <v>39</v>
      </c>
      <c r="C70" s="2" t="s">
        <v>40</v>
      </c>
      <c r="D70" s="2" t="n">
        <v>2022</v>
      </c>
      <c r="E70" s="2" t="s">
        <v>33</v>
      </c>
      <c r="F70" s="4" t="n">
        <v>9155496.092</v>
      </c>
      <c r="G70" s="4" t="n">
        <v>7827402</v>
      </c>
      <c r="H70" s="4" t="n">
        <v>1326712.092</v>
      </c>
      <c r="I70" s="4" t="n">
        <v>2936172.744</v>
      </c>
      <c r="J70" s="4" t="n">
        <v>4894258.6</v>
      </c>
      <c r="K70" s="4" t="n">
        <v>1325064.748</v>
      </c>
      <c r="L70" s="2" t="s">
        <v>30</v>
      </c>
      <c r="M70" s="2" t="s">
        <v>29</v>
      </c>
    </row>
    <row r="71" customFormat="false" ht="15" hidden="false" customHeight="false" outlineLevel="0" collapsed="false">
      <c r="A71" s="2" t="n">
        <v>1002301</v>
      </c>
      <c r="B71" s="2" t="s">
        <v>39</v>
      </c>
      <c r="C71" s="2" t="s">
        <v>40</v>
      </c>
      <c r="D71" s="2" t="n">
        <v>2023</v>
      </c>
      <c r="E71" s="2" t="s">
        <v>33</v>
      </c>
      <c r="F71" s="4" t="n">
        <v>9475265.746</v>
      </c>
      <c r="G71" s="4" t="n">
        <v>7752761.9</v>
      </c>
      <c r="H71" s="4" t="n">
        <v>1721136.846</v>
      </c>
      <c r="I71" s="4" t="n">
        <v>2893094.082</v>
      </c>
      <c r="J71" s="4" t="n">
        <v>4862676.5</v>
      </c>
      <c r="K71" s="4" t="n">
        <v>1719495.164</v>
      </c>
      <c r="L71" s="2" t="s">
        <v>30</v>
      </c>
      <c r="M71" s="2" t="s">
        <v>29</v>
      </c>
    </row>
    <row r="72" customFormat="false" ht="15" hidden="false" customHeight="false" outlineLevel="0" collapsed="false">
      <c r="A72" s="2" t="n">
        <v>1002380</v>
      </c>
      <c r="B72" s="2" t="s">
        <v>41</v>
      </c>
      <c r="C72" s="2" t="s">
        <v>42</v>
      </c>
      <c r="D72" s="2" t="n">
        <v>2010</v>
      </c>
      <c r="E72" s="2" t="s">
        <v>28</v>
      </c>
      <c r="F72" s="4" t="n">
        <v>841955.43</v>
      </c>
      <c r="G72" s="4" t="n">
        <v>841593</v>
      </c>
      <c r="H72" s="4" t="n">
        <v>196.68</v>
      </c>
      <c r="I72" s="4" t="n">
        <v>351717.43</v>
      </c>
      <c r="J72" s="4" t="n">
        <v>490238</v>
      </c>
      <c r="K72" s="4"/>
      <c r="L72" s="2" t="s">
        <v>30</v>
      </c>
      <c r="M72" s="2" t="s">
        <v>30</v>
      </c>
    </row>
    <row r="73" customFormat="false" ht="15" hidden="false" customHeight="false" outlineLevel="0" collapsed="false">
      <c r="A73" s="2" t="n">
        <v>1002380</v>
      </c>
      <c r="B73" s="2" t="s">
        <v>41</v>
      </c>
      <c r="C73" s="2" t="s">
        <v>42</v>
      </c>
      <c r="D73" s="2" t="n">
        <v>2011</v>
      </c>
      <c r="E73" s="2" t="s">
        <v>28</v>
      </c>
      <c r="F73" s="4" t="n">
        <v>960401.74</v>
      </c>
      <c r="G73" s="4" t="n">
        <v>959974.8</v>
      </c>
      <c r="H73" s="4" t="n">
        <v>232.44</v>
      </c>
      <c r="I73" s="4" t="n">
        <v>413072.74</v>
      </c>
      <c r="J73" s="4" t="n">
        <v>547329</v>
      </c>
      <c r="K73" s="4"/>
      <c r="L73" s="2" t="s">
        <v>29</v>
      </c>
      <c r="M73" s="2" t="s">
        <v>30</v>
      </c>
    </row>
    <row r="74" customFormat="false" ht="15" hidden="false" customHeight="false" outlineLevel="0" collapsed="false">
      <c r="A74" s="2" t="n">
        <v>1002380</v>
      </c>
      <c r="B74" s="2" t="s">
        <v>41</v>
      </c>
      <c r="C74" s="2" t="s">
        <v>42</v>
      </c>
      <c r="D74" s="2" t="n">
        <v>2012</v>
      </c>
      <c r="E74" s="2" t="s">
        <v>28</v>
      </c>
      <c r="F74" s="4" t="n">
        <v>986925.656</v>
      </c>
      <c r="G74" s="4" t="n">
        <v>986476</v>
      </c>
      <c r="H74" s="4" t="n">
        <v>252.406</v>
      </c>
      <c r="I74" s="4" t="n">
        <v>418717.656</v>
      </c>
      <c r="J74" s="4" t="n">
        <v>568208</v>
      </c>
      <c r="K74" s="4"/>
      <c r="L74" s="2" t="s">
        <v>30</v>
      </c>
      <c r="M74" s="2" t="s">
        <v>30</v>
      </c>
    </row>
    <row r="75" customFormat="false" ht="15" hidden="false" customHeight="false" outlineLevel="0" collapsed="false">
      <c r="A75" s="2" t="n">
        <v>1002380</v>
      </c>
      <c r="B75" s="2" t="s">
        <v>41</v>
      </c>
      <c r="C75" s="2" t="s">
        <v>42</v>
      </c>
      <c r="D75" s="2" t="n">
        <v>2013</v>
      </c>
      <c r="E75" s="2" t="s">
        <v>28</v>
      </c>
      <c r="F75" s="4" t="n">
        <v>888228.902</v>
      </c>
      <c r="G75" s="4" t="n">
        <v>887648.2</v>
      </c>
      <c r="H75" s="4" t="n">
        <v>372.202</v>
      </c>
      <c r="I75" s="4" t="n">
        <v>399855.902</v>
      </c>
      <c r="J75" s="4" t="n">
        <v>488373</v>
      </c>
      <c r="K75" s="4"/>
      <c r="L75" s="2" t="s">
        <v>30</v>
      </c>
      <c r="M75" s="2" t="s">
        <v>30</v>
      </c>
    </row>
    <row r="76" customFormat="false" ht="15" hidden="false" customHeight="false" outlineLevel="0" collapsed="false">
      <c r="A76" s="2" t="n">
        <v>1002380</v>
      </c>
      <c r="B76" s="2" t="s">
        <v>41</v>
      </c>
      <c r="C76" s="2" t="s">
        <v>42</v>
      </c>
      <c r="D76" s="2" t="n">
        <v>2014</v>
      </c>
      <c r="E76" s="2" t="s">
        <v>28</v>
      </c>
      <c r="F76" s="4" t="n">
        <v>921696.592</v>
      </c>
      <c r="G76" s="4" t="n">
        <v>921283.4</v>
      </c>
      <c r="H76" s="4" t="n">
        <v>224.692</v>
      </c>
      <c r="I76" s="4" t="n">
        <v>400481.492</v>
      </c>
      <c r="J76" s="4" t="n">
        <v>521215.1</v>
      </c>
      <c r="K76" s="4"/>
      <c r="L76" s="2" t="s">
        <v>30</v>
      </c>
      <c r="M76" s="2" t="s">
        <v>30</v>
      </c>
    </row>
    <row r="77" customFormat="false" ht="15" hidden="false" customHeight="false" outlineLevel="0" collapsed="false">
      <c r="A77" s="2" t="n">
        <v>1002380</v>
      </c>
      <c r="B77" s="2" t="s">
        <v>41</v>
      </c>
      <c r="C77" s="2" t="s">
        <v>42</v>
      </c>
      <c r="D77" s="2" t="n">
        <v>2015</v>
      </c>
      <c r="E77" s="2" t="s">
        <v>28</v>
      </c>
      <c r="F77" s="4" t="n">
        <v>828959.472</v>
      </c>
      <c r="G77" s="4" t="n">
        <v>828581.9</v>
      </c>
      <c r="H77" s="4" t="n">
        <v>205.322</v>
      </c>
      <c r="I77" s="4" t="n">
        <v>366010.072</v>
      </c>
      <c r="J77" s="4" t="n">
        <v>462949.4</v>
      </c>
      <c r="K77" s="4"/>
      <c r="L77" s="2" t="s">
        <v>30</v>
      </c>
      <c r="M77" s="2" t="s">
        <v>30</v>
      </c>
    </row>
    <row r="78" customFormat="false" ht="15" hidden="false" customHeight="false" outlineLevel="0" collapsed="false">
      <c r="A78" s="2" t="n">
        <v>1002380</v>
      </c>
      <c r="B78" s="2" t="s">
        <v>41</v>
      </c>
      <c r="C78" s="2" t="s">
        <v>42</v>
      </c>
      <c r="D78" s="2" t="n">
        <v>2016</v>
      </c>
      <c r="E78" s="2" t="s">
        <v>28</v>
      </c>
      <c r="F78" s="4" t="n">
        <v>747135.884</v>
      </c>
      <c r="G78" s="4" t="n">
        <v>746665.7</v>
      </c>
      <c r="H78" s="4" t="n">
        <v>255.684</v>
      </c>
      <c r="I78" s="4" t="n">
        <v>455768.884</v>
      </c>
      <c r="J78" s="4" t="n">
        <v>291367</v>
      </c>
      <c r="K78" s="4"/>
      <c r="L78" s="2" t="s">
        <v>30</v>
      </c>
      <c r="M78" s="2" t="s">
        <v>30</v>
      </c>
    </row>
    <row r="79" customFormat="false" ht="15" hidden="false" customHeight="false" outlineLevel="0" collapsed="false">
      <c r="A79" s="2" t="n">
        <v>1002380</v>
      </c>
      <c r="B79" s="2" t="s">
        <v>41</v>
      </c>
      <c r="C79" s="2" t="s">
        <v>42</v>
      </c>
      <c r="D79" s="2" t="n">
        <v>2017</v>
      </c>
      <c r="E79" s="2" t="s">
        <v>28</v>
      </c>
      <c r="F79" s="4" t="n">
        <v>852522.156</v>
      </c>
      <c r="G79" s="4" t="n">
        <v>852058</v>
      </c>
      <c r="H79" s="4" t="n">
        <v>252.406</v>
      </c>
      <c r="I79" s="4" t="n">
        <v>450002.056</v>
      </c>
      <c r="J79" s="4" t="n">
        <v>402520.1</v>
      </c>
      <c r="K79" s="4"/>
      <c r="L79" s="2" t="s">
        <v>30</v>
      </c>
      <c r="M79" s="2" t="s">
        <v>30</v>
      </c>
    </row>
    <row r="80" customFormat="false" ht="15" hidden="false" customHeight="false" outlineLevel="0" collapsed="false">
      <c r="A80" s="2" t="n">
        <v>1002380</v>
      </c>
      <c r="B80" s="2" t="s">
        <v>41</v>
      </c>
      <c r="C80" s="2" t="s">
        <v>42</v>
      </c>
      <c r="D80" s="2" t="n">
        <v>2018</v>
      </c>
      <c r="E80" s="2" t="s">
        <v>28</v>
      </c>
      <c r="F80" s="4" t="n">
        <v>1232578.78</v>
      </c>
      <c r="G80" s="4" t="n">
        <v>1232107.5</v>
      </c>
      <c r="H80" s="4" t="n">
        <v>256.28</v>
      </c>
      <c r="I80" s="4" t="n">
        <v>456955.88</v>
      </c>
      <c r="J80" s="4" t="n">
        <v>775622.9</v>
      </c>
      <c r="K80" s="4"/>
      <c r="L80" s="2" t="s">
        <v>30</v>
      </c>
      <c r="M80" s="2" t="s">
        <v>30</v>
      </c>
    </row>
    <row r="81" customFormat="false" ht="15" hidden="false" customHeight="false" outlineLevel="0" collapsed="false">
      <c r="A81" s="2" t="n">
        <v>1002380</v>
      </c>
      <c r="B81" s="2" t="s">
        <v>41</v>
      </c>
      <c r="C81" s="2" t="s">
        <v>42</v>
      </c>
      <c r="D81" s="2" t="n">
        <v>2019</v>
      </c>
      <c r="E81" s="2" t="s">
        <v>28</v>
      </c>
      <c r="F81" s="4" t="n">
        <v>902306.712</v>
      </c>
      <c r="G81" s="4" t="n">
        <v>901885.3</v>
      </c>
      <c r="H81" s="4" t="n">
        <v>229.162</v>
      </c>
      <c r="I81" s="4" t="n">
        <v>408678.312</v>
      </c>
      <c r="J81" s="4" t="n">
        <v>493628.4</v>
      </c>
      <c r="K81" s="4"/>
      <c r="L81" s="2" t="s">
        <v>30</v>
      </c>
      <c r="M81" s="2" t="s">
        <v>30</v>
      </c>
    </row>
    <row r="82" customFormat="false" ht="15" hidden="false" customHeight="false" outlineLevel="0" collapsed="false">
      <c r="A82" s="2" t="n">
        <v>1002380</v>
      </c>
      <c r="B82" s="2" t="s">
        <v>41</v>
      </c>
      <c r="C82" s="2" t="s">
        <v>42</v>
      </c>
      <c r="D82" s="2" t="n">
        <v>2020</v>
      </c>
      <c r="E82" s="2" t="s">
        <v>28</v>
      </c>
      <c r="F82" s="4" t="n">
        <v>955607.872</v>
      </c>
      <c r="G82" s="4" t="n">
        <v>955161.8</v>
      </c>
      <c r="H82" s="4" t="n">
        <v>242.572</v>
      </c>
      <c r="I82" s="4" t="n">
        <v>432219.472</v>
      </c>
      <c r="J82" s="4" t="n">
        <v>523388.4</v>
      </c>
      <c r="K82" s="4"/>
      <c r="L82" s="2" t="s">
        <v>30</v>
      </c>
      <c r="M82" s="2" t="s">
        <v>30</v>
      </c>
    </row>
    <row r="83" customFormat="false" ht="15" hidden="false" customHeight="false" outlineLevel="0" collapsed="false">
      <c r="A83" s="2" t="n">
        <v>1002380</v>
      </c>
      <c r="B83" s="2" t="s">
        <v>41</v>
      </c>
      <c r="C83" s="2" t="s">
        <v>42</v>
      </c>
      <c r="D83" s="2" t="n">
        <v>2021</v>
      </c>
      <c r="E83" s="2" t="s">
        <v>28</v>
      </c>
      <c r="F83" s="4" t="n">
        <v>730767.124</v>
      </c>
      <c r="G83" s="4" t="n">
        <v>730390.1</v>
      </c>
      <c r="H83" s="4" t="n">
        <v>205.024</v>
      </c>
      <c r="I83" s="4" t="n">
        <v>365381.624</v>
      </c>
      <c r="J83" s="4" t="n">
        <v>365385.5</v>
      </c>
      <c r="K83" s="4"/>
      <c r="L83" s="2" t="s">
        <v>30</v>
      </c>
      <c r="M83" s="2" t="s">
        <v>30</v>
      </c>
    </row>
    <row r="84" customFormat="false" ht="15" hidden="false" customHeight="false" outlineLevel="0" collapsed="false">
      <c r="A84" s="2" t="n">
        <v>1002380</v>
      </c>
      <c r="B84" s="2" t="s">
        <v>41</v>
      </c>
      <c r="C84" s="2" t="s">
        <v>42</v>
      </c>
      <c r="D84" s="2" t="n">
        <v>2022</v>
      </c>
      <c r="E84" s="2" t="s">
        <v>28</v>
      </c>
      <c r="F84" s="4" t="n">
        <v>1026667.268</v>
      </c>
      <c r="G84" s="4" t="n">
        <v>1026151.6</v>
      </c>
      <c r="H84" s="4" t="n">
        <v>280.418</v>
      </c>
      <c r="I84" s="4" t="n">
        <v>499861.368</v>
      </c>
      <c r="J84" s="4" t="n">
        <v>526805.9</v>
      </c>
      <c r="K84" s="4"/>
      <c r="L84" s="2" t="s">
        <v>30</v>
      </c>
      <c r="M84" s="2" t="s">
        <v>30</v>
      </c>
    </row>
    <row r="85" customFormat="false" ht="15" hidden="false" customHeight="false" outlineLevel="0" collapsed="false">
      <c r="A85" s="2" t="n">
        <v>1002380</v>
      </c>
      <c r="B85" s="2" t="s">
        <v>41</v>
      </c>
      <c r="C85" s="2" t="s">
        <v>42</v>
      </c>
      <c r="D85" s="2" t="n">
        <v>2023</v>
      </c>
      <c r="E85" s="2" t="s">
        <v>28</v>
      </c>
      <c r="F85" s="4" t="n">
        <v>736027.596</v>
      </c>
      <c r="G85" s="4" t="n">
        <v>735656.6</v>
      </c>
      <c r="H85" s="4" t="n">
        <v>201.746</v>
      </c>
      <c r="I85" s="4" t="n">
        <v>359979.496</v>
      </c>
      <c r="J85" s="4" t="n">
        <v>376048.1</v>
      </c>
      <c r="K85" s="4"/>
      <c r="L85" s="2" t="s">
        <v>30</v>
      </c>
      <c r="M85" s="2" t="s">
        <v>30</v>
      </c>
    </row>
    <row r="86" customFormat="false" ht="15" hidden="false" customHeight="false" outlineLevel="0" collapsed="false">
      <c r="A86" s="2" t="n">
        <v>1002407</v>
      </c>
      <c r="B86" s="2" t="s">
        <v>43</v>
      </c>
      <c r="C86" s="2" t="s">
        <v>38</v>
      </c>
      <c r="D86" s="2" t="n">
        <v>2010</v>
      </c>
      <c r="E86" s="2" t="s">
        <v>34</v>
      </c>
      <c r="F86" s="4" t="n">
        <v>1716006.9</v>
      </c>
      <c r="G86" s="4" t="n">
        <v>1714961.5</v>
      </c>
      <c r="H86" s="4" t="n">
        <v>685.4</v>
      </c>
      <c r="I86" s="4" t="n">
        <v>763499.12</v>
      </c>
      <c r="J86" s="4" t="n">
        <v>952251.5</v>
      </c>
      <c r="K86" s="4" t="n">
        <v>256.28</v>
      </c>
      <c r="L86" s="2" t="s">
        <v>30</v>
      </c>
      <c r="M86" s="2" t="s">
        <v>30</v>
      </c>
    </row>
    <row r="87" customFormat="false" ht="15" hidden="false" customHeight="false" outlineLevel="0" collapsed="false">
      <c r="A87" s="2" t="n">
        <v>1002407</v>
      </c>
      <c r="B87" s="2" t="s">
        <v>43</v>
      </c>
      <c r="C87" s="2" t="s">
        <v>38</v>
      </c>
      <c r="D87" s="2" t="n">
        <v>2011</v>
      </c>
      <c r="E87" s="2" t="s">
        <v>34</v>
      </c>
      <c r="F87" s="4" t="n">
        <v>1918015.93</v>
      </c>
      <c r="G87" s="4" t="n">
        <v>1916536</v>
      </c>
      <c r="H87" s="4" t="n">
        <v>1090.68</v>
      </c>
      <c r="I87" s="4" t="n">
        <v>826590.13</v>
      </c>
      <c r="J87" s="4" t="n">
        <v>1090800</v>
      </c>
      <c r="K87" s="4" t="n">
        <v>625.8</v>
      </c>
      <c r="L87" s="2" t="s">
        <v>30</v>
      </c>
      <c r="M87" s="2" t="s">
        <v>30</v>
      </c>
    </row>
    <row r="88" customFormat="false" ht="15" hidden="false" customHeight="false" outlineLevel="0" collapsed="false">
      <c r="A88" s="2" t="n">
        <v>1002407</v>
      </c>
      <c r="B88" s="2" t="s">
        <v>43</v>
      </c>
      <c r="C88" s="2" t="s">
        <v>38</v>
      </c>
      <c r="D88" s="2" t="n">
        <v>2012</v>
      </c>
      <c r="E88" s="2" t="s">
        <v>34</v>
      </c>
      <c r="F88" s="4" t="n">
        <v>1805872.19</v>
      </c>
      <c r="G88" s="4" t="n">
        <v>1804679</v>
      </c>
      <c r="H88" s="4" t="n">
        <v>828.44</v>
      </c>
      <c r="I88" s="4" t="n">
        <v>774220.77</v>
      </c>
      <c r="J88" s="4" t="n">
        <v>1031267</v>
      </c>
      <c r="K88" s="4" t="n">
        <v>384.42</v>
      </c>
      <c r="L88" s="2" t="s">
        <v>30</v>
      </c>
      <c r="M88" s="2" t="s">
        <v>30</v>
      </c>
    </row>
    <row r="89" customFormat="false" ht="15" hidden="false" customHeight="false" outlineLevel="0" collapsed="false">
      <c r="A89" s="2" t="n">
        <v>1002407</v>
      </c>
      <c r="B89" s="2" t="s">
        <v>43</v>
      </c>
      <c r="C89" s="2" t="s">
        <v>38</v>
      </c>
      <c r="D89" s="2" t="n">
        <v>2013</v>
      </c>
      <c r="E89" s="2" t="s">
        <v>34</v>
      </c>
      <c r="F89" s="4" t="n">
        <v>1733304.984</v>
      </c>
      <c r="G89" s="4" t="n">
        <v>1732105</v>
      </c>
      <c r="H89" s="4" t="n">
        <v>844.234</v>
      </c>
      <c r="I89" s="4" t="n">
        <v>755640.804</v>
      </c>
      <c r="J89" s="4" t="n">
        <v>977244</v>
      </c>
      <c r="K89" s="4" t="n">
        <v>420.18</v>
      </c>
      <c r="L89" s="2" t="s">
        <v>30</v>
      </c>
      <c r="M89" s="2" t="s">
        <v>30</v>
      </c>
    </row>
    <row r="90" customFormat="false" ht="15" hidden="false" customHeight="false" outlineLevel="0" collapsed="false">
      <c r="A90" s="2" t="n">
        <v>1002407</v>
      </c>
      <c r="B90" s="2" t="s">
        <v>43</v>
      </c>
      <c r="C90" s="2" t="s">
        <v>38</v>
      </c>
      <c r="D90" s="2" t="n">
        <v>2014</v>
      </c>
      <c r="E90" s="2" t="s">
        <v>34</v>
      </c>
      <c r="F90" s="4" t="n">
        <v>1593076.572</v>
      </c>
      <c r="G90" s="4" t="n">
        <v>1592109.6</v>
      </c>
      <c r="H90" s="4" t="n">
        <v>629.972</v>
      </c>
      <c r="I90" s="4" t="n">
        <v>715900.604</v>
      </c>
      <c r="J90" s="4" t="n">
        <v>876947.7</v>
      </c>
      <c r="K90" s="4" t="n">
        <v>228.268</v>
      </c>
      <c r="L90" s="2" t="s">
        <v>30</v>
      </c>
      <c r="M90" s="2" t="s">
        <v>30</v>
      </c>
    </row>
    <row r="91" customFormat="false" ht="15" hidden="false" customHeight="false" outlineLevel="0" collapsed="false">
      <c r="A91" s="2" t="n">
        <v>1002407</v>
      </c>
      <c r="B91" s="2" t="s">
        <v>43</v>
      </c>
      <c r="C91" s="2" t="s">
        <v>38</v>
      </c>
      <c r="D91" s="2" t="n">
        <v>2015</v>
      </c>
      <c r="E91" s="2" t="s">
        <v>34</v>
      </c>
      <c r="F91" s="4" t="n">
        <v>1547769.734</v>
      </c>
      <c r="G91" s="4" t="n">
        <v>1546641</v>
      </c>
      <c r="H91" s="4" t="n">
        <v>806.984</v>
      </c>
      <c r="I91" s="4" t="n">
        <v>683819.376</v>
      </c>
      <c r="J91" s="4" t="n">
        <v>863526.9</v>
      </c>
      <c r="K91" s="4" t="n">
        <v>423.458</v>
      </c>
      <c r="L91" s="2" t="s">
        <v>30</v>
      </c>
      <c r="M91" s="2" t="s">
        <v>30</v>
      </c>
    </row>
    <row r="92" customFormat="false" ht="15" hidden="false" customHeight="false" outlineLevel="0" collapsed="false">
      <c r="A92" s="2" t="n">
        <v>1002407</v>
      </c>
      <c r="B92" s="2" t="s">
        <v>43</v>
      </c>
      <c r="C92" s="2" t="s">
        <v>38</v>
      </c>
      <c r="D92" s="2" t="n">
        <v>2016</v>
      </c>
      <c r="E92" s="2" t="s">
        <v>34</v>
      </c>
      <c r="F92" s="4" t="n">
        <v>1530246.726</v>
      </c>
      <c r="G92" s="4" t="n">
        <v>1529295.6</v>
      </c>
      <c r="H92" s="4" t="n">
        <v>629.376</v>
      </c>
      <c r="I92" s="4" t="n">
        <v>683500.976</v>
      </c>
      <c r="J92" s="4" t="n">
        <v>846499.9</v>
      </c>
      <c r="K92" s="4" t="n">
        <v>245.85</v>
      </c>
      <c r="L92" s="2" t="s">
        <v>30</v>
      </c>
      <c r="M92" s="2" t="s">
        <v>30</v>
      </c>
    </row>
    <row r="93" customFormat="false" ht="15" hidden="false" customHeight="false" outlineLevel="0" collapsed="false">
      <c r="A93" s="2" t="n">
        <v>1002407</v>
      </c>
      <c r="B93" s="2" t="s">
        <v>43</v>
      </c>
      <c r="C93" s="2" t="s">
        <v>38</v>
      </c>
      <c r="D93" s="2" t="n">
        <v>2017</v>
      </c>
      <c r="E93" s="2" t="s">
        <v>34</v>
      </c>
      <c r="F93" s="4" t="n">
        <v>1672354.404</v>
      </c>
      <c r="G93" s="4" t="n">
        <v>1671272.5</v>
      </c>
      <c r="H93" s="4" t="n">
        <v>744.404</v>
      </c>
      <c r="I93" s="4" t="n">
        <v>717230.2</v>
      </c>
      <c r="J93" s="4" t="n">
        <v>954782.1</v>
      </c>
      <c r="K93" s="4" t="n">
        <v>342.104</v>
      </c>
      <c r="L93" s="2" t="s">
        <v>30</v>
      </c>
      <c r="M93" s="2" t="s">
        <v>30</v>
      </c>
    </row>
    <row r="94" customFormat="false" ht="15" hidden="false" customHeight="false" outlineLevel="0" collapsed="false">
      <c r="A94" s="2" t="n">
        <v>1002407</v>
      </c>
      <c r="B94" s="2" t="s">
        <v>43</v>
      </c>
      <c r="C94" s="2" t="s">
        <v>38</v>
      </c>
      <c r="D94" s="2" t="n">
        <v>2018</v>
      </c>
      <c r="E94" s="2" t="s">
        <v>34</v>
      </c>
      <c r="F94" s="4" t="n">
        <v>1845963.196</v>
      </c>
      <c r="G94" s="4" t="n">
        <v>1844749.7</v>
      </c>
      <c r="H94" s="4" t="n">
        <v>834.996</v>
      </c>
      <c r="I94" s="4" t="n">
        <v>804355.672</v>
      </c>
      <c r="J94" s="4" t="n">
        <v>1041223.7</v>
      </c>
      <c r="K94" s="4" t="n">
        <v>383.824</v>
      </c>
      <c r="L94" s="2" t="s">
        <v>30</v>
      </c>
      <c r="M94" s="2" t="s">
        <v>30</v>
      </c>
    </row>
    <row r="95" customFormat="false" ht="15" hidden="false" customHeight="false" outlineLevel="0" collapsed="false">
      <c r="A95" s="2" t="n">
        <v>1002407</v>
      </c>
      <c r="B95" s="2" t="s">
        <v>43</v>
      </c>
      <c r="C95" s="2" t="s">
        <v>38</v>
      </c>
      <c r="D95" s="2" t="n">
        <v>2019</v>
      </c>
      <c r="E95" s="2" t="s">
        <v>34</v>
      </c>
      <c r="F95" s="4" t="n">
        <v>2204568.762</v>
      </c>
      <c r="G95" s="4" t="n">
        <v>2203259.2</v>
      </c>
      <c r="H95" s="4" t="n">
        <v>877.312</v>
      </c>
      <c r="I95" s="4" t="n">
        <v>918553.892</v>
      </c>
      <c r="J95" s="4" t="n">
        <v>1285652.8</v>
      </c>
      <c r="K95" s="4" t="n">
        <v>362.07</v>
      </c>
      <c r="L95" s="2" t="s">
        <v>30</v>
      </c>
      <c r="M95" s="2" t="s">
        <v>30</v>
      </c>
    </row>
    <row r="96" customFormat="false" ht="15" hidden="false" customHeight="false" outlineLevel="0" collapsed="false">
      <c r="A96" s="2" t="n">
        <v>1002407</v>
      </c>
      <c r="B96" s="2" t="s">
        <v>43</v>
      </c>
      <c r="C96" s="2" t="s">
        <v>38</v>
      </c>
      <c r="D96" s="2" t="n">
        <v>2020</v>
      </c>
      <c r="E96" s="2" t="s">
        <v>34</v>
      </c>
      <c r="F96" s="4" t="n">
        <v>2359236.246</v>
      </c>
      <c r="G96" s="4" t="n">
        <v>2357971.3</v>
      </c>
      <c r="H96" s="4" t="n">
        <v>805.196</v>
      </c>
      <c r="I96" s="4" t="n">
        <v>977035.672</v>
      </c>
      <c r="J96" s="4" t="n">
        <v>1381943.4</v>
      </c>
      <c r="K96" s="4" t="n">
        <v>257.174</v>
      </c>
      <c r="L96" s="2" t="s">
        <v>30</v>
      </c>
      <c r="M96" s="2" t="s">
        <v>30</v>
      </c>
    </row>
    <row r="97" customFormat="false" ht="15" hidden="false" customHeight="false" outlineLevel="0" collapsed="false">
      <c r="A97" s="2" t="n">
        <v>1002407</v>
      </c>
      <c r="B97" s="2" t="s">
        <v>43</v>
      </c>
      <c r="C97" s="2" t="s">
        <v>38</v>
      </c>
      <c r="D97" s="2" t="n">
        <v>2021</v>
      </c>
      <c r="E97" s="2" t="s">
        <v>34</v>
      </c>
      <c r="F97" s="4" t="n">
        <v>2123972.458</v>
      </c>
      <c r="G97" s="4" t="n">
        <v>2122834.9</v>
      </c>
      <c r="H97" s="4" t="n">
        <v>706.558</v>
      </c>
      <c r="I97" s="4" t="n">
        <v>915437.952</v>
      </c>
      <c r="J97" s="4" t="n">
        <v>1208341.7</v>
      </c>
      <c r="K97" s="4" t="n">
        <v>192.806</v>
      </c>
      <c r="L97" s="2" t="s">
        <v>30</v>
      </c>
      <c r="M97" s="2" t="s">
        <v>30</v>
      </c>
    </row>
    <row r="98" customFormat="false" ht="15" hidden="false" customHeight="false" outlineLevel="0" collapsed="false">
      <c r="A98" s="2" t="n">
        <v>1002407</v>
      </c>
      <c r="B98" s="2" t="s">
        <v>43</v>
      </c>
      <c r="C98" s="2" t="s">
        <v>38</v>
      </c>
      <c r="D98" s="2" t="n">
        <v>2022</v>
      </c>
      <c r="E98" s="2" t="s">
        <v>34</v>
      </c>
      <c r="F98" s="4" t="n">
        <v>2288147.676</v>
      </c>
      <c r="G98" s="4" t="n">
        <v>2286677.8</v>
      </c>
      <c r="H98" s="4" t="n">
        <v>1001.876</v>
      </c>
      <c r="I98" s="4" t="n">
        <v>994162.356</v>
      </c>
      <c r="J98" s="4" t="n">
        <v>1293541.3</v>
      </c>
      <c r="K98" s="4" t="n">
        <v>444.02</v>
      </c>
      <c r="L98" s="2" t="s">
        <v>30</v>
      </c>
      <c r="M98" s="2" t="s">
        <v>30</v>
      </c>
    </row>
    <row r="99" customFormat="false" ht="15" hidden="false" customHeight="false" outlineLevel="0" collapsed="false">
      <c r="A99" s="2" t="n">
        <v>1002407</v>
      </c>
      <c r="B99" s="2" t="s">
        <v>43</v>
      </c>
      <c r="C99" s="2" t="s">
        <v>38</v>
      </c>
      <c r="D99" s="2" t="n">
        <v>2023</v>
      </c>
      <c r="E99" s="2" t="s">
        <v>34</v>
      </c>
      <c r="F99" s="4" t="n">
        <v>2379961.55</v>
      </c>
      <c r="G99" s="4" t="n">
        <v>2378753.4</v>
      </c>
      <c r="H99" s="4" t="n">
        <v>722.65</v>
      </c>
      <c r="I99" s="4" t="n">
        <v>1031308.416</v>
      </c>
      <c r="J99" s="4" t="n">
        <v>1348509.2</v>
      </c>
      <c r="K99" s="4" t="n">
        <v>143.934</v>
      </c>
      <c r="L99" s="2" t="s">
        <v>30</v>
      </c>
      <c r="M99" s="2" t="s">
        <v>30</v>
      </c>
    </row>
    <row r="100" customFormat="false" ht="15" hidden="false" customHeight="false" outlineLevel="0" collapsed="false">
      <c r="A100" s="2" t="n">
        <v>1002440</v>
      </c>
      <c r="B100" s="2" t="s">
        <v>44</v>
      </c>
      <c r="C100" s="2" t="s">
        <v>45</v>
      </c>
      <c r="D100" s="2" t="n">
        <v>2010</v>
      </c>
      <c r="E100" s="2" t="s">
        <v>28</v>
      </c>
      <c r="F100" s="4" t="n">
        <v>2944296.336</v>
      </c>
      <c r="G100" s="4" t="n">
        <v>2944237.7</v>
      </c>
      <c r="H100" s="4" t="n">
        <v>31.886</v>
      </c>
      <c r="I100" s="4" t="n">
        <v>2785831.336</v>
      </c>
      <c r="J100" s="4" t="n">
        <v>158465</v>
      </c>
      <c r="K100" s="4"/>
      <c r="L100" s="2" t="s">
        <v>29</v>
      </c>
      <c r="M100" s="2" t="s">
        <v>30</v>
      </c>
    </row>
    <row r="101" customFormat="false" ht="15" hidden="false" customHeight="false" outlineLevel="0" collapsed="false">
      <c r="A101" s="2" t="n">
        <v>1002440</v>
      </c>
      <c r="B101" s="2" t="s">
        <v>44</v>
      </c>
      <c r="C101" s="2" t="s">
        <v>45</v>
      </c>
      <c r="D101" s="2" t="n">
        <v>2011</v>
      </c>
      <c r="E101" s="2" t="s">
        <v>28</v>
      </c>
      <c r="F101" s="4" t="n">
        <v>3042548.26</v>
      </c>
      <c r="G101" s="4" t="n">
        <v>3042455.1</v>
      </c>
      <c r="H101" s="4" t="n">
        <v>50.66</v>
      </c>
      <c r="I101" s="4" t="n">
        <v>2733994.46</v>
      </c>
      <c r="J101" s="4" t="n">
        <v>308553.8</v>
      </c>
      <c r="K101" s="4"/>
      <c r="L101" s="2" t="s">
        <v>29</v>
      </c>
      <c r="M101" s="2" t="s">
        <v>30</v>
      </c>
    </row>
    <row r="102" customFormat="false" ht="15" hidden="false" customHeight="false" outlineLevel="0" collapsed="false">
      <c r="A102" s="2" t="n">
        <v>1002440</v>
      </c>
      <c r="B102" s="2" t="s">
        <v>44</v>
      </c>
      <c r="C102" s="2" t="s">
        <v>45</v>
      </c>
      <c r="D102" s="2" t="n">
        <v>2012</v>
      </c>
      <c r="E102" s="2" t="s">
        <v>46</v>
      </c>
      <c r="F102" s="4" t="n">
        <v>2858253.856</v>
      </c>
      <c r="G102" s="4" t="n">
        <v>2858173.3</v>
      </c>
      <c r="H102" s="4" t="n">
        <v>43.806</v>
      </c>
      <c r="I102" s="4" t="n">
        <v>2595255.256</v>
      </c>
      <c r="J102" s="4" t="n">
        <v>262998.6</v>
      </c>
      <c r="K102" s="4"/>
      <c r="L102" s="2" t="s">
        <v>29</v>
      </c>
      <c r="M102" s="2" t="s">
        <v>30</v>
      </c>
    </row>
    <row r="103" customFormat="false" ht="15" hidden="false" customHeight="false" outlineLevel="0" collapsed="false">
      <c r="A103" s="2" t="n">
        <v>1002440</v>
      </c>
      <c r="B103" s="2" t="s">
        <v>44</v>
      </c>
      <c r="C103" s="2" t="s">
        <v>45</v>
      </c>
      <c r="D103" s="2" t="n">
        <v>2013</v>
      </c>
      <c r="E103" s="2" t="s">
        <v>46</v>
      </c>
      <c r="F103" s="4" t="n">
        <v>2123868.34</v>
      </c>
      <c r="G103" s="4" t="n">
        <v>2123766</v>
      </c>
      <c r="H103" s="4" t="n">
        <v>61.09</v>
      </c>
      <c r="I103" s="4" t="n">
        <v>1817821.34</v>
      </c>
      <c r="J103" s="4" t="n">
        <v>306047</v>
      </c>
      <c r="K103" s="4"/>
      <c r="L103" s="2" t="s">
        <v>29</v>
      </c>
      <c r="M103" s="2" t="s">
        <v>30</v>
      </c>
    </row>
    <row r="104" customFormat="false" ht="15" hidden="false" customHeight="false" outlineLevel="0" collapsed="false">
      <c r="A104" s="2" t="n">
        <v>1002440</v>
      </c>
      <c r="B104" s="2" t="s">
        <v>44</v>
      </c>
      <c r="C104" s="2" t="s">
        <v>45</v>
      </c>
      <c r="D104" s="2" t="n">
        <v>2014</v>
      </c>
      <c r="E104" s="2" t="s">
        <v>46</v>
      </c>
      <c r="F104" s="4" t="n">
        <v>1246360.4</v>
      </c>
      <c r="G104" s="4" t="n">
        <v>1246360.4</v>
      </c>
      <c r="H104" s="4"/>
      <c r="I104" s="4" t="n">
        <v>997114.9</v>
      </c>
      <c r="J104" s="4" t="n">
        <v>249245.5</v>
      </c>
      <c r="K104" s="4"/>
      <c r="L104" s="2" t="s">
        <v>29</v>
      </c>
      <c r="M104" s="2" t="s">
        <v>30</v>
      </c>
    </row>
    <row r="105" customFormat="false" ht="15" hidden="false" customHeight="false" outlineLevel="0" collapsed="false">
      <c r="A105" s="2" t="n">
        <v>1002440</v>
      </c>
      <c r="B105" s="2" t="s">
        <v>44</v>
      </c>
      <c r="C105" s="2" t="s">
        <v>45</v>
      </c>
      <c r="D105" s="2" t="n">
        <v>2015</v>
      </c>
      <c r="E105" s="2" t="s">
        <v>46</v>
      </c>
      <c r="F105" s="4" t="n">
        <v>2882904.742</v>
      </c>
      <c r="G105" s="4" t="n">
        <v>2882744.3</v>
      </c>
      <c r="H105" s="4" t="n">
        <v>112.942</v>
      </c>
      <c r="I105" s="4" t="n">
        <v>2519107.942</v>
      </c>
      <c r="J105" s="4" t="n">
        <v>363796.8</v>
      </c>
      <c r="K105" s="4"/>
      <c r="L105" s="2" t="s">
        <v>29</v>
      </c>
      <c r="M105" s="2" t="s">
        <v>30</v>
      </c>
    </row>
    <row r="106" customFormat="false" ht="15" hidden="false" customHeight="false" outlineLevel="0" collapsed="false">
      <c r="A106" s="2" t="n">
        <v>1002440</v>
      </c>
      <c r="B106" s="2" t="s">
        <v>44</v>
      </c>
      <c r="C106" s="2" t="s">
        <v>45</v>
      </c>
      <c r="D106" s="2" t="n">
        <v>2016</v>
      </c>
      <c r="E106" s="2" t="s">
        <v>46</v>
      </c>
      <c r="F106" s="4" t="n">
        <v>3326537.68</v>
      </c>
      <c r="G106" s="4" t="n">
        <v>3326353.8</v>
      </c>
      <c r="H106" s="4" t="n">
        <v>129.63</v>
      </c>
      <c r="I106" s="4" t="n">
        <v>3063183.28</v>
      </c>
      <c r="J106" s="4" t="n">
        <v>263354.4</v>
      </c>
      <c r="K106" s="4"/>
      <c r="L106" s="2" t="s">
        <v>29</v>
      </c>
      <c r="M106" s="2" t="s">
        <v>30</v>
      </c>
    </row>
    <row r="107" customFormat="false" ht="15" hidden="false" customHeight="false" outlineLevel="0" collapsed="false">
      <c r="A107" s="2" t="n">
        <v>1002440</v>
      </c>
      <c r="B107" s="2" t="s">
        <v>44</v>
      </c>
      <c r="C107" s="2" t="s">
        <v>45</v>
      </c>
      <c r="D107" s="2" t="n">
        <v>2017</v>
      </c>
      <c r="E107" s="2" t="s">
        <v>46</v>
      </c>
      <c r="F107" s="4" t="n">
        <v>3234852.898</v>
      </c>
      <c r="G107" s="4" t="n">
        <v>3234418.9</v>
      </c>
      <c r="H107" s="4" t="n">
        <v>305.748</v>
      </c>
      <c r="I107" s="4" t="n">
        <v>2927912.798</v>
      </c>
      <c r="J107" s="4" t="n">
        <v>306940.1</v>
      </c>
      <c r="K107" s="4"/>
      <c r="L107" s="2" t="s">
        <v>29</v>
      </c>
      <c r="M107" s="2" t="s">
        <v>30</v>
      </c>
    </row>
    <row r="108" customFormat="false" ht="15" hidden="false" customHeight="false" outlineLevel="0" collapsed="false">
      <c r="A108" s="2" t="n">
        <v>1002440</v>
      </c>
      <c r="B108" s="2" t="s">
        <v>44</v>
      </c>
      <c r="C108" s="2" t="s">
        <v>45</v>
      </c>
      <c r="D108" s="2" t="n">
        <v>2018</v>
      </c>
      <c r="E108" s="2" t="s">
        <v>46</v>
      </c>
      <c r="F108" s="4" t="n">
        <v>4082335.7</v>
      </c>
      <c r="G108" s="4" t="n">
        <v>4082335.7</v>
      </c>
      <c r="H108" s="4"/>
      <c r="I108" s="4" t="n">
        <v>3694960.6</v>
      </c>
      <c r="J108" s="4" t="n">
        <v>387375.1</v>
      </c>
      <c r="K108" s="4"/>
      <c r="L108" s="2" t="s">
        <v>30</v>
      </c>
      <c r="M108" s="2" t="s">
        <v>30</v>
      </c>
    </row>
    <row r="109" customFormat="false" ht="15" hidden="false" customHeight="false" outlineLevel="0" collapsed="false">
      <c r="A109" s="2" t="n">
        <v>1002440</v>
      </c>
      <c r="B109" s="2" t="s">
        <v>44</v>
      </c>
      <c r="C109" s="2" t="s">
        <v>45</v>
      </c>
      <c r="D109" s="2" t="n">
        <v>2019</v>
      </c>
      <c r="E109" s="2" t="s">
        <v>46</v>
      </c>
      <c r="F109" s="4" t="n">
        <v>3137752.8</v>
      </c>
      <c r="G109" s="4" t="n">
        <v>3137752.8</v>
      </c>
      <c r="H109" s="4"/>
      <c r="I109" s="4" t="n">
        <v>2779617.8</v>
      </c>
      <c r="J109" s="4" t="n">
        <v>358135</v>
      </c>
      <c r="K109" s="4"/>
      <c r="L109" s="2" t="s">
        <v>30</v>
      </c>
      <c r="M109" s="2" t="s">
        <v>30</v>
      </c>
    </row>
    <row r="110" customFormat="false" ht="15" hidden="false" customHeight="false" outlineLevel="0" collapsed="false">
      <c r="A110" s="2" t="n">
        <v>1002440</v>
      </c>
      <c r="B110" s="2" t="s">
        <v>44</v>
      </c>
      <c r="C110" s="2" t="s">
        <v>45</v>
      </c>
      <c r="D110" s="2" t="n">
        <v>2020</v>
      </c>
      <c r="E110" s="2" t="s">
        <v>46</v>
      </c>
      <c r="F110" s="4" t="n">
        <v>3230507.3</v>
      </c>
      <c r="G110" s="4" t="n">
        <v>3230507.3</v>
      </c>
      <c r="H110" s="4"/>
      <c r="I110" s="4" t="n">
        <v>2822239.8</v>
      </c>
      <c r="J110" s="4" t="n">
        <v>408267.5</v>
      </c>
      <c r="K110" s="4"/>
      <c r="L110" s="2" t="s">
        <v>30</v>
      </c>
      <c r="M110" s="2" t="s">
        <v>30</v>
      </c>
    </row>
    <row r="111" customFormat="false" ht="15" hidden="false" customHeight="false" outlineLevel="0" collapsed="false">
      <c r="A111" s="2" t="n">
        <v>1002440</v>
      </c>
      <c r="B111" s="2" t="s">
        <v>44</v>
      </c>
      <c r="C111" s="2" t="s">
        <v>45</v>
      </c>
      <c r="D111" s="2" t="n">
        <v>2021</v>
      </c>
      <c r="E111" s="2" t="s">
        <v>46</v>
      </c>
      <c r="F111" s="4" t="n">
        <v>3523412.1</v>
      </c>
      <c r="G111" s="4" t="n">
        <v>3523412.1</v>
      </c>
      <c r="H111" s="4"/>
      <c r="I111" s="4" t="n">
        <v>3119625.7</v>
      </c>
      <c r="J111" s="4" t="n">
        <v>403786.4</v>
      </c>
      <c r="K111" s="4"/>
      <c r="L111" s="2" t="s">
        <v>30</v>
      </c>
      <c r="M111" s="2" t="s">
        <v>30</v>
      </c>
    </row>
    <row r="112" customFormat="false" ht="15" hidden="false" customHeight="false" outlineLevel="0" collapsed="false">
      <c r="A112" s="2" t="n">
        <v>1002440</v>
      </c>
      <c r="B112" s="2" t="s">
        <v>44</v>
      </c>
      <c r="C112" s="2" t="s">
        <v>45</v>
      </c>
      <c r="D112" s="2" t="n">
        <v>2022</v>
      </c>
      <c r="E112" s="2" t="s">
        <v>47</v>
      </c>
      <c r="F112" s="4" t="n">
        <v>3339679.4</v>
      </c>
      <c r="G112" s="4" t="n">
        <v>3339679.4</v>
      </c>
      <c r="H112" s="4"/>
      <c r="I112" s="4" t="n">
        <v>2918945.8</v>
      </c>
      <c r="J112" s="4" t="n">
        <v>420733.6</v>
      </c>
      <c r="K112" s="4"/>
      <c r="L112" s="2" t="s">
        <v>30</v>
      </c>
      <c r="M112" s="2" t="s">
        <v>30</v>
      </c>
    </row>
    <row r="113" customFormat="false" ht="15" hidden="false" customHeight="false" outlineLevel="0" collapsed="false">
      <c r="A113" s="2" t="n">
        <v>1002440</v>
      </c>
      <c r="B113" s="2" t="s">
        <v>44</v>
      </c>
      <c r="C113" s="2" t="s">
        <v>45</v>
      </c>
      <c r="D113" s="2" t="n">
        <v>2023</v>
      </c>
      <c r="E113" s="2" t="s">
        <v>47</v>
      </c>
      <c r="F113" s="4" t="n">
        <v>2873469.1</v>
      </c>
      <c r="G113" s="4" t="n">
        <v>2873469.1</v>
      </c>
      <c r="H113" s="4"/>
      <c r="I113" s="4" t="n">
        <v>2484642.4</v>
      </c>
      <c r="J113" s="4" t="n">
        <v>388826.7</v>
      </c>
      <c r="K113" s="4"/>
      <c r="L113" s="2" t="s">
        <v>30</v>
      </c>
      <c r="M113" s="2" t="s">
        <v>30</v>
      </c>
    </row>
    <row r="114" customFormat="false" ht="15" hidden="false" customHeight="false" outlineLevel="0" collapsed="false">
      <c r="A114" s="2" t="n">
        <v>1002790</v>
      </c>
      <c r="B114" s="2" t="s">
        <v>48</v>
      </c>
      <c r="C114" s="2" t="s">
        <v>49</v>
      </c>
      <c r="D114" s="2" t="n">
        <v>2010</v>
      </c>
      <c r="E114" s="2" t="s">
        <v>50</v>
      </c>
      <c r="F114" s="4" t="n">
        <v>58888.888</v>
      </c>
      <c r="G114" s="4" t="n">
        <v>58858.2</v>
      </c>
      <c r="H114" s="4" t="n">
        <v>16.688</v>
      </c>
      <c r="I114" s="4" t="n">
        <v>29784.688</v>
      </c>
      <c r="J114" s="4" t="n">
        <v>29104.2</v>
      </c>
      <c r="K114" s="4"/>
      <c r="L114" s="2" t="s">
        <v>29</v>
      </c>
      <c r="M114" s="2" t="s">
        <v>29</v>
      </c>
    </row>
    <row r="115" customFormat="false" ht="15" hidden="false" customHeight="false" outlineLevel="0" collapsed="false">
      <c r="A115" s="2" t="n">
        <v>1002790</v>
      </c>
      <c r="B115" s="2" t="s">
        <v>48</v>
      </c>
      <c r="C115" s="2" t="s">
        <v>49</v>
      </c>
      <c r="D115" s="2" t="n">
        <v>2011</v>
      </c>
      <c r="E115" s="2" t="s">
        <v>50</v>
      </c>
      <c r="F115" s="4" t="n">
        <v>30836.396</v>
      </c>
      <c r="G115" s="4" t="n">
        <v>30835.3</v>
      </c>
      <c r="H115" s="4" t="n">
        <v>0.596</v>
      </c>
      <c r="I115" s="4" t="n">
        <v>1316.396</v>
      </c>
      <c r="J115" s="4" t="n">
        <v>29520</v>
      </c>
      <c r="K115" s="4"/>
      <c r="L115" s="2" t="s">
        <v>29</v>
      </c>
      <c r="M115" s="2" t="s">
        <v>29</v>
      </c>
    </row>
    <row r="116" customFormat="false" ht="15" hidden="false" customHeight="false" outlineLevel="0" collapsed="false">
      <c r="A116" s="2" t="n">
        <v>1002790</v>
      </c>
      <c r="B116" s="2" t="s">
        <v>48</v>
      </c>
      <c r="C116" s="2" t="s">
        <v>49</v>
      </c>
      <c r="D116" s="2" t="n">
        <v>2012</v>
      </c>
      <c r="E116" s="2" t="s">
        <v>50</v>
      </c>
      <c r="F116" s="4" t="n">
        <v>34915.484</v>
      </c>
      <c r="G116" s="4" t="n">
        <v>34911.1</v>
      </c>
      <c r="H116" s="4" t="n">
        <v>2.384</v>
      </c>
      <c r="I116" s="4" t="n">
        <v>4036.284</v>
      </c>
      <c r="J116" s="4" t="n">
        <v>30879.2</v>
      </c>
      <c r="K116" s="4"/>
      <c r="L116" s="2" t="s">
        <v>29</v>
      </c>
      <c r="M116" s="2" t="s">
        <v>29</v>
      </c>
    </row>
    <row r="117" customFormat="false" ht="15" hidden="false" customHeight="false" outlineLevel="0" collapsed="false">
      <c r="A117" s="2" t="n">
        <v>1002790</v>
      </c>
      <c r="B117" s="2" t="s">
        <v>48</v>
      </c>
      <c r="C117" s="2" t="s">
        <v>49</v>
      </c>
      <c r="D117" s="2" t="n">
        <v>2013</v>
      </c>
      <c r="E117" s="2" t="s">
        <v>50</v>
      </c>
      <c r="F117" s="4" t="n">
        <v>60038.34</v>
      </c>
      <c r="G117" s="4" t="n">
        <v>60035.6</v>
      </c>
      <c r="H117" s="4" t="n">
        <v>1.49</v>
      </c>
      <c r="I117" s="4" t="n">
        <v>2632.44</v>
      </c>
      <c r="J117" s="4" t="n">
        <v>57405.9</v>
      </c>
      <c r="K117" s="4"/>
      <c r="L117" s="2" t="s">
        <v>29</v>
      </c>
      <c r="M117" s="2" t="s">
        <v>29</v>
      </c>
    </row>
    <row r="118" customFormat="false" ht="15" hidden="false" customHeight="false" outlineLevel="0" collapsed="false">
      <c r="A118" s="2" t="n">
        <v>1002790</v>
      </c>
      <c r="B118" s="2" t="s">
        <v>48</v>
      </c>
      <c r="C118" s="2" t="s">
        <v>49</v>
      </c>
      <c r="D118" s="2" t="n">
        <v>2014</v>
      </c>
      <c r="E118" s="2" t="s">
        <v>50</v>
      </c>
      <c r="F118" s="4" t="n">
        <v>37482.744</v>
      </c>
      <c r="G118" s="4" t="n">
        <v>37481.1</v>
      </c>
      <c r="H118" s="4" t="n">
        <v>0.894</v>
      </c>
      <c r="I118" s="4" t="n">
        <v>1517.444</v>
      </c>
      <c r="J118" s="4" t="n">
        <v>35965.3</v>
      </c>
      <c r="K118" s="4"/>
      <c r="L118" s="2" t="s">
        <v>29</v>
      </c>
      <c r="M118" s="2" t="s">
        <v>29</v>
      </c>
    </row>
    <row r="119" customFormat="false" ht="15" hidden="false" customHeight="false" outlineLevel="0" collapsed="false">
      <c r="A119" s="2" t="n">
        <v>1002790</v>
      </c>
      <c r="B119" s="2" t="s">
        <v>48</v>
      </c>
      <c r="C119" s="2" t="s">
        <v>49</v>
      </c>
      <c r="D119" s="2" t="n">
        <v>2015</v>
      </c>
      <c r="E119" s="2" t="s">
        <v>50</v>
      </c>
      <c r="F119" s="4" t="n">
        <v>25605.096</v>
      </c>
      <c r="G119" s="4" t="n">
        <v>25604</v>
      </c>
      <c r="H119" s="4" t="n">
        <v>0.596</v>
      </c>
      <c r="I119" s="4" t="n">
        <v>1036.796</v>
      </c>
      <c r="J119" s="4" t="n">
        <v>24568.3</v>
      </c>
      <c r="K119" s="4"/>
      <c r="L119" s="2" t="s">
        <v>29</v>
      </c>
      <c r="M119" s="2" t="s">
        <v>29</v>
      </c>
    </row>
    <row r="120" customFormat="false" ht="15" hidden="false" customHeight="false" outlineLevel="0" collapsed="false">
      <c r="A120" s="2" t="n">
        <v>1002790</v>
      </c>
      <c r="B120" s="2" t="s">
        <v>48</v>
      </c>
      <c r="C120" s="2" t="s">
        <v>49</v>
      </c>
      <c r="D120" s="2" t="n">
        <v>2016</v>
      </c>
      <c r="E120" s="2" t="s">
        <v>50</v>
      </c>
      <c r="F120" s="4" t="n">
        <v>49336.392</v>
      </c>
      <c r="G120" s="4" t="n">
        <v>49334.2</v>
      </c>
      <c r="H120" s="4" t="n">
        <v>1.192</v>
      </c>
      <c r="I120" s="4" t="n">
        <v>1985.192</v>
      </c>
      <c r="J120" s="4" t="n">
        <v>47351.2</v>
      </c>
      <c r="K120" s="4"/>
      <c r="L120" s="2" t="s">
        <v>29</v>
      </c>
      <c r="M120" s="2" t="s">
        <v>29</v>
      </c>
    </row>
    <row r="121" customFormat="false" ht="15" hidden="false" customHeight="false" outlineLevel="0" collapsed="false">
      <c r="A121" s="2" t="n">
        <v>1002790</v>
      </c>
      <c r="B121" s="2" t="s">
        <v>48</v>
      </c>
      <c r="C121" s="2" t="s">
        <v>49</v>
      </c>
      <c r="D121" s="2" t="n">
        <v>2017</v>
      </c>
      <c r="E121" s="2" t="s">
        <v>50</v>
      </c>
      <c r="F121" s="4" t="n">
        <v>64800.74</v>
      </c>
      <c r="G121" s="4" t="n">
        <v>64798</v>
      </c>
      <c r="H121" s="4" t="n">
        <v>1.49</v>
      </c>
      <c r="I121" s="4" t="n">
        <v>2574.54</v>
      </c>
      <c r="J121" s="4" t="n">
        <v>62226.2</v>
      </c>
      <c r="K121" s="4"/>
      <c r="L121" s="2" t="s">
        <v>29</v>
      </c>
      <c r="M121" s="2" t="s">
        <v>29</v>
      </c>
    </row>
    <row r="122" customFormat="false" ht="15" hidden="false" customHeight="false" outlineLevel="0" collapsed="false">
      <c r="A122" s="2" t="n">
        <v>1002790</v>
      </c>
      <c r="B122" s="2" t="s">
        <v>48</v>
      </c>
      <c r="C122" s="2" t="s">
        <v>49</v>
      </c>
      <c r="D122" s="2" t="n">
        <v>2018</v>
      </c>
      <c r="E122" s="2" t="s">
        <v>50</v>
      </c>
      <c r="F122" s="4" t="n">
        <v>59071.692</v>
      </c>
      <c r="G122" s="4" t="n">
        <v>59069.5</v>
      </c>
      <c r="H122" s="4" t="n">
        <v>1.192</v>
      </c>
      <c r="I122" s="4" t="n">
        <v>2352.592</v>
      </c>
      <c r="J122" s="4" t="n">
        <v>56719.1</v>
      </c>
      <c r="K122" s="4"/>
      <c r="L122" s="2" t="s">
        <v>29</v>
      </c>
      <c r="M122" s="2" t="s">
        <v>29</v>
      </c>
    </row>
    <row r="123" customFormat="false" ht="15" hidden="false" customHeight="false" outlineLevel="0" collapsed="false">
      <c r="A123" s="2" t="n">
        <v>1002790</v>
      </c>
      <c r="B123" s="2" t="s">
        <v>48</v>
      </c>
      <c r="C123" s="2" t="s">
        <v>49</v>
      </c>
      <c r="D123" s="2" t="n">
        <v>2019</v>
      </c>
      <c r="E123" s="2" t="s">
        <v>50</v>
      </c>
      <c r="F123" s="4" t="n">
        <v>47626.892</v>
      </c>
      <c r="G123" s="4" t="n">
        <v>47624.7</v>
      </c>
      <c r="H123" s="4" t="n">
        <v>1.192</v>
      </c>
      <c r="I123" s="4" t="n">
        <v>1887.792</v>
      </c>
      <c r="J123" s="4" t="n">
        <v>45739.1</v>
      </c>
      <c r="K123" s="4"/>
      <c r="L123" s="2" t="s">
        <v>29</v>
      </c>
      <c r="M123" s="2" t="s">
        <v>29</v>
      </c>
    </row>
    <row r="124" customFormat="false" ht="15" hidden="false" customHeight="false" outlineLevel="0" collapsed="false">
      <c r="A124" s="2" t="n">
        <v>1002790</v>
      </c>
      <c r="B124" s="2" t="s">
        <v>48</v>
      </c>
      <c r="C124" s="2" t="s">
        <v>49</v>
      </c>
      <c r="D124" s="2" t="n">
        <v>2020</v>
      </c>
      <c r="E124" s="2" t="s">
        <v>50</v>
      </c>
      <c r="F124" s="4" t="n">
        <v>69125.14</v>
      </c>
      <c r="G124" s="4" t="n">
        <v>69122.4</v>
      </c>
      <c r="H124" s="4" t="n">
        <v>1.49</v>
      </c>
      <c r="I124" s="4" t="n">
        <v>2731.24</v>
      </c>
      <c r="J124" s="4" t="n">
        <v>66393.9</v>
      </c>
      <c r="K124" s="4"/>
      <c r="L124" s="2" t="s">
        <v>29</v>
      </c>
      <c r="M124" s="2" t="s">
        <v>29</v>
      </c>
    </row>
    <row r="125" customFormat="false" ht="15" hidden="false" customHeight="false" outlineLevel="0" collapsed="false">
      <c r="A125" s="2" t="n">
        <v>1002790</v>
      </c>
      <c r="B125" s="2" t="s">
        <v>48</v>
      </c>
      <c r="C125" s="2" t="s">
        <v>49</v>
      </c>
      <c r="D125" s="2" t="n">
        <v>2021</v>
      </c>
      <c r="E125" s="2" t="s">
        <v>50</v>
      </c>
      <c r="F125" s="4" t="n">
        <v>64811.74</v>
      </c>
      <c r="G125" s="4" t="n">
        <v>64809</v>
      </c>
      <c r="H125" s="4" t="n">
        <v>1.49</v>
      </c>
      <c r="I125" s="4" t="n">
        <v>2555.14</v>
      </c>
      <c r="J125" s="4" t="n">
        <v>62256.6</v>
      </c>
      <c r="K125" s="4"/>
      <c r="L125" s="2" t="s">
        <v>29</v>
      </c>
      <c r="M125" s="2" t="s">
        <v>29</v>
      </c>
    </row>
    <row r="126" customFormat="false" ht="15" hidden="false" customHeight="false" outlineLevel="0" collapsed="false">
      <c r="A126" s="2" t="n">
        <v>1002790</v>
      </c>
      <c r="B126" s="2" t="s">
        <v>48</v>
      </c>
      <c r="C126" s="2" t="s">
        <v>49</v>
      </c>
      <c r="D126" s="2" t="n">
        <v>2022</v>
      </c>
      <c r="E126" s="2" t="s">
        <v>50</v>
      </c>
      <c r="F126" s="4" t="n">
        <v>57519.692</v>
      </c>
      <c r="G126" s="4" t="n">
        <v>57517.5</v>
      </c>
      <c r="H126" s="4" t="n">
        <v>1.192</v>
      </c>
      <c r="I126" s="4" t="n">
        <v>2306.392</v>
      </c>
      <c r="J126" s="4" t="n">
        <v>55213.3</v>
      </c>
      <c r="K126" s="4"/>
      <c r="L126" s="2" t="s">
        <v>29</v>
      </c>
      <c r="M126" s="2" t="s">
        <v>29</v>
      </c>
    </row>
    <row r="127" customFormat="false" ht="15" hidden="false" customHeight="false" outlineLevel="0" collapsed="false">
      <c r="A127" s="2" t="n">
        <v>1002790</v>
      </c>
      <c r="B127" s="2" t="s">
        <v>48</v>
      </c>
      <c r="C127" s="2" t="s">
        <v>49</v>
      </c>
      <c r="D127" s="2" t="n">
        <v>2023</v>
      </c>
      <c r="E127" s="2" t="s">
        <v>50</v>
      </c>
      <c r="F127" s="4" t="n">
        <v>65745.24</v>
      </c>
      <c r="G127" s="4" t="n">
        <v>65742.5</v>
      </c>
      <c r="H127" s="4" t="n">
        <v>1.49</v>
      </c>
      <c r="I127" s="4" t="n">
        <v>2667.94</v>
      </c>
      <c r="J127" s="4" t="n">
        <v>63077.3</v>
      </c>
      <c r="K127" s="4"/>
      <c r="L127" s="2" t="s">
        <v>29</v>
      </c>
      <c r="M127" s="2" t="s">
        <v>29</v>
      </c>
    </row>
    <row r="128" customFormat="false" ht="15" hidden="false" customHeight="false" outlineLevel="0" collapsed="false">
      <c r="A128" s="2" t="n">
        <v>1003087</v>
      </c>
      <c r="B128" s="2" t="s">
        <v>51</v>
      </c>
      <c r="C128" s="2" t="s">
        <v>52</v>
      </c>
      <c r="D128" s="2" t="n">
        <v>2017</v>
      </c>
      <c r="E128" s="2" t="s">
        <v>53</v>
      </c>
      <c r="F128" s="4" t="n">
        <v>133775.886</v>
      </c>
      <c r="G128" s="4" t="n">
        <v>133772.3</v>
      </c>
      <c r="H128" s="4" t="n">
        <v>2.086</v>
      </c>
      <c r="I128" s="4" t="n">
        <v>3006.886</v>
      </c>
      <c r="J128" s="4" t="n">
        <v>67677.3</v>
      </c>
      <c r="K128" s="4"/>
      <c r="L128" s="2" t="s">
        <v>29</v>
      </c>
      <c r="M128" s="2" t="s">
        <v>29</v>
      </c>
    </row>
    <row r="129" customFormat="false" ht="15" hidden="false" customHeight="false" outlineLevel="0" collapsed="false">
      <c r="A129" s="2" t="n">
        <v>1003087</v>
      </c>
      <c r="B129" s="2" t="s">
        <v>51</v>
      </c>
      <c r="C129" s="2" t="s">
        <v>52</v>
      </c>
      <c r="D129" s="2" t="n">
        <v>2018</v>
      </c>
      <c r="E129" s="2" t="s">
        <v>53</v>
      </c>
      <c r="F129" s="4" t="n">
        <v>365760.498</v>
      </c>
      <c r="G129" s="4" t="n">
        <v>365746.5</v>
      </c>
      <c r="H129" s="4" t="n">
        <v>7.748</v>
      </c>
      <c r="I129" s="4" t="n">
        <v>13238.598</v>
      </c>
      <c r="J129" s="4" t="n">
        <v>293456</v>
      </c>
      <c r="K129" s="4"/>
      <c r="L129" s="2" t="s">
        <v>29</v>
      </c>
      <c r="M129" s="2" t="s">
        <v>29</v>
      </c>
    </row>
    <row r="130" customFormat="false" ht="15" hidden="false" customHeight="false" outlineLevel="0" collapsed="false">
      <c r="A130" s="2" t="n">
        <v>1003087</v>
      </c>
      <c r="B130" s="2" t="s">
        <v>51</v>
      </c>
      <c r="C130" s="2" t="s">
        <v>52</v>
      </c>
      <c r="D130" s="2" t="n">
        <v>2019</v>
      </c>
      <c r="E130" s="2" t="s">
        <v>53</v>
      </c>
      <c r="F130" s="4" t="n">
        <v>375668.618</v>
      </c>
      <c r="G130" s="4" t="n">
        <v>375646.4</v>
      </c>
      <c r="H130" s="4" t="n">
        <v>12.218</v>
      </c>
      <c r="I130" s="4" t="n">
        <v>20839.818</v>
      </c>
      <c r="J130" s="4" t="n">
        <v>302293.7</v>
      </c>
      <c r="K130" s="4"/>
      <c r="L130" s="2" t="s">
        <v>29</v>
      </c>
      <c r="M130" s="2" t="s">
        <v>29</v>
      </c>
    </row>
    <row r="131" customFormat="false" ht="15" hidden="false" customHeight="false" outlineLevel="0" collapsed="false">
      <c r="A131" s="2" t="n">
        <v>1003087</v>
      </c>
      <c r="B131" s="2" t="s">
        <v>51</v>
      </c>
      <c r="C131" s="2" t="s">
        <v>52</v>
      </c>
      <c r="D131" s="2" t="n">
        <v>2020</v>
      </c>
      <c r="E131" s="2" t="s">
        <v>53</v>
      </c>
      <c r="F131" s="4" t="n">
        <v>466779.006</v>
      </c>
      <c r="G131" s="4" t="n">
        <v>466767.2</v>
      </c>
      <c r="H131" s="4" t="n">
        <v>6.556</v>
      </c>
      <c r="I131" s="4" t="n">
        <v>11589.306</v>
      </c>
      <c r="J131" s="4" t="n">
        <v>405179.7</v>
      </c>
      <c r="K131" s="4"/>
      <c r="L131" s="2" t="s">
        <v>29</v>
      </c>
      <c r="M131" s="2" t="s">
        <v>29</v>
      </c>
    </row>
    <row r="132" customFormat="false" ht="15" hidden="false" customHeight="false" outlineLevel="0" collapsed="false">
      <c r="A132" s="2" t="n">
        <v>1003087</v>
      </c>
      <c r="B132" s="2" t="s">
        <v>51</v>
      </c>
      <c r="C132" s="2" t="s">
        <v>52</v>
      </c>
      <c r="D132" s="2" t="n">
        <v>2021</v>
      </c>
      <c r="E132" s="2" t="s">
        <v>53</v>
      </c>
      <c r="F132" s="4" t="n">
        <v>396816.142</v>
      </c>
      <c r="G132" s="4" t="n">
        <v>396814.2</v>
      </c>
      <c r="H132" s="4" t="n">
        <v>1.192</v>
      </c>
      <c r="I132" s="4" t="n">
        <v>1523.442</v>
      </c>
      <c r="J132" s="4" t="n">
        <v>342596.4</v>
      </c>
      <c r="K132" s="4"/>
      <c r="L132" s="2" t="s">
        <v>29</v>
      </c>
      <c r="M132" s="2" t="s">
        <v>29</v>
      </c>
    </row>
    <row r="133" customFormat="false" ht="15" hidden="false" customHeight="false" outlineLevel="0" collapsed="false">
      <c r="A133" s="2" t="n">
        <v>1003087</v>
      </c>
      <c r="B133" s="2" t="s">
        <v>51</v>
      </c>
      <c r="C133" s="2" t="s">
        <v>52</v>
      </c>
      <c r="D133" s="2" t="n">
        <v>2022</v>
      </c>
      <c r="E133" s="2" t="s">
        <v>53</v>
      </c>
      <c r="F133" s="4" t="n">
        <v>447011.79</v>
      </c>
      <c r="G133" s="4" t="n">
        <v>446995.6</v>
      </c>
      <c r="H133" s="4" t="n">
        <v>8.94</v>
      </c>
      <c r="I133" s="4" t="n">
        <v>15816.49</v>
      </c>
      <c r="J133" s="4" t="n">
        <v>383253.1</v>
      </c>
      <c r="K133" s="4"/>
      <c r="L133" s="2" t="s">
        <v>29</v>
      </c>
      <c r="M133" s="2" t="s">
        <v>29</v>
      </c>
    </row>
    <row r="134" customFormat="false" ht="15" hidden="false" customHeight="false" outlineLevel="0" collapsed="false">
      <c r="A134" s="2" t="n">
        <v>1003087</v>
      </c>
      <c r="B134" s="2" t="s">
        <v>51</v>
      </c>
      <c r="C134" s="2" t="s">
        <v>52</v>
      </c>
      <c r="D134" s="2" t="n">
        <v>2023</v>
      </c>
      <c r="E134" s="2" t="s">
        <v>53</v>
      </c>
      <c r="F134" s="4" t="n">
        <v>473443.868</v>
      </c>
      <c r="G134" s="4" t="n">
        <v>473435.1</v>
      </c>
      <c r="H134" s="4" t="n">
        <v>4.768</v>
      </c>
      <c r="I134" s="4" t="n">
        <v>7965.568</v>
      </c>
      <c r="J134" s="4" t="n">
        <v>418781.9</v>
      </c>
      <c r="K134" s="4"/>
      <c r="L134" s="2" t="s">
        <v>29</v>
      </c>
      <c r="M134" s="2" t="s">
        <v>29</v>
      </c>
    </row>
    <row r="135" customFormat="false" ht="15" hidden="false" customHeight="false" outlineLevel="0" collapsed="false">
      <c r="A135" s="2" t="n">
        <v>1003489</v>
      </c>
      <c r="B135" s="2" t="s">
        <v>54</v>
      </c>
      <c r="C135" s="2" t="s">
        <v>40</v>
      </c>
      <c r="D135" s="2" t="n">
        <v>2013</v>
      </c>
      <c r="E135" s="2" t="s">
        <v>55</v>
      </c>
      <c r="F135" s="4" t="n">
        <v>1439791.1</v>
      </c>
      <c r="G135" s="4" t="n">
        <v>852316.5</v>
      </c>
      <c r="H135" s="4" t="n">
        <v>587305.85</v>
      </c>
      <c r="I135" s="4" t="n">
        <v>358427.5</v>
      </c>
      <c r="J135" s="4" t="n">
        <v>489668</v>
      </c>
      <c r="K135" s="4" t="n">
        <v>587104.7</v>
      </c>
      <c r="L135" s="2" t="s">
        <v>30</v>
      </c>
      <c r="M135" s="2" t="s">
        <v>30</v>
      </c>
    </row>
    <row r="136" customFormat="false" ht="15" hidden="false" customHeight="false" outlineLevel="0" collapsed="false">
      <c r="A136" s="2" t="n">
        <v>1003489</v>
      </c>
      <c r="B136" s="2" t="s">
        <v>54</v>
      </c>
      <c r="C136" s="2" t="s">
        <v>40</v>
      </c>
      <c r="D136" s="2" t="n">
        <v>2014</v>
      </c>
      <c r="E136" s="2" t="s">
        <v>55</v>
      </c>
      <c r="F136" s="4" t="n">
        <v>1684388.092</v>
      </c>
      <c r="G136" s="4" t="n">
        <v>1009551.2</v>
      </c>
      <c r="H136" s="4" t="n">
        <v>674643.392</v>
      </c>
      <c r="I136" s="4" t="n">
        <v>411192.852</v>
      </c>
      <c r="J136" s="4" t="n">
        <v>593828.7</v>
      </c>
      <c r="K136" s="4" t="n">
        <v>674412.74</v>
      </c>
      <c r="L136" s="2" t="s">
        <v>30</v>
      </c>
      <c r="M136" s="2" t="s">
        <v>30</v>
      </c>
    </row>
    <row r="137" customFormat="false" ht="15" hidden="false" customHeight="false" outlineLevel="0" collapsed="false">
      <c r="A137" s="2" t="n">
        <v>1003489</v>
      </c>
      <c r="B137" s="2" t="s">
        <v>54</v>
      </c>
      <c r="C137" s="2" t="s">
        <v>40</v>
      </c>
      <c r="D137" s="2" t="n">
        <v>2015</v>
      </c>
      <c r="E137" s="2" t="s">
        <v>55</v>
      </c>
      <c r="F137" s="4" t="n">
        <v>1452448.41</v>
      </c>
      <c r="G137" s="4" t="n">
        <v>974174.9</v>
      </c>
      <c r="H137" s="4" t="n">
        <v>478065.01</v>
      </c>
      <c r="I137" s="4" t="n">
        <v>442802.832</v>
      </c>
      <c r="J137" s="4" t="n">
        <v>527828.2</v>
      </c>
      <c r="K137" s="4" t="n">
        <v>477816.478</v>
      </c>
      <c r="L137" s="2" t="s">
        <v>30</v>
      </c>
      <c r="M137" s="2" t="s">
        <v>30</v>
      </c>
    </row>
    <row r="138" customFormat="false" ht="15" hidden="false" customHeight="false" outlineLevel="0" collapsed="false">
      <c r="A138" s="2" t="n">
        <v>1003489</v>
      </c>
      <c r="B138" s="2" t="s">
        <v>54</v>
      </c>
      <c r="C138" s="2" t="s">
        <v>40</v>
      </c>
      <c r="D138" s="2" t="n">
        <v>2016</v>
      </c>
      <c r="E138" s="2" t="s">
        <v>55</v>
      </c>
      <c r="F138" s="4" t="n">
        <v>1302762.898</v>
      </c>
      <c r="G138" s="4" t="n">
        <v>1035836.3</v>
      </c>
      <c r="H138" s="4" t="n">
        <v>266702.848</v>
      </c>
      <c r="I138" s="4" t="n">
        <v>475422.96</v>
      </c>
      <c r="J138" s="4" t="n">
        <v>556983</v>
      </c>
      <c r="K138" s="4" t="n">
        <v>266436.138</v>
      </c>
      <c r="L138" s="2" t="s">
        <v>30</v>
      </c>
      <c r="M138" s="2" t="s">
        <v>30</v>
      </c>
    </row>
    <row r="139" customFormat="false" ht="15" hidden="false" customHeight="false" outlineLevel="0" collapsed="false">
      <c r="A139" s="2" t="n">
        <v>1003489</v>
      </c>
      <c r="B139" s="2" t="s">
        <v>54</v>
      </c>
      <c r="C139" s="2" t="s">
        <v>40</v>
      </c>
      <c r="D139" s="2" t="n">
        <v>2017</v>
      </c>
      <c r="E139" s="2" t="s">
        <v>55</v>
      </c>
      <c r="F139" s="4" t="n">
        <v>1244129.474</v>
      </c>
      <c r="G139" s="4" t="n">
        <v>952816.6</v>
      </c>
      <c r="H139" s="4" t="n">
        <v>291112.624</v>
      </c>
      <c r="I139" s="4" t="n">
        <v>425072.448</v>
      </c>
      <c r="J139" s="4" t="n">
        <v>524760.6</v>
      </c>
      <c r="K139" s="4" t="n">
        <v>290873.926</v>
      </c>
      <c r="L139" s="2" t="s">
        <v>30</v>
      </c>
      <c r="M139" s="2" t="s">
        <v>30</v>
      </c>
    </row>
    <row r="140" customFormat="false" ht="15" hidden="false" customHeight="false" outlineLevel="0" collapsed="false">
      <c r="A140" s="2" t="n">
        <v>1003489</v>
      </c>
      <c r="B140" s="2" t="s">
        <v>54</v>
      </c>
      <c r="C140" s="2" t="s">
        <v>40</v>
      </c>
      <c r="D140" s="2" t="n">
        <v>2018</v>
      </c>
      <c r="E140" s="2" t="s">
        <v>55</v>
      </c>
      <c r="F140" s="4" t="n">
        <v>1230111.446</v>
      </c>
      <c r="G140" s="4" t="n">
        <v>906539.9</v>
      </c>
      <c r="H140" s="4" t="n">
        <v>323375.296</v>
      </c>
      <c r="I140" s="4" t="n">
        <v>416332.68</v>
      </c>
      <c r="J140" s="4" t="n">
        <v>486970.5</v>
      </c>
      <c r="K140" s="4" t="n">
        <v>323141.366</v>
      </c>
      <c r="L140" s="2" t="s">
        <v>30</v>
      </c>
      <c r="M140" s="2" t="s">
        <v>30</v>
      </c>
    </row>
    <row r="141" customFormat="false" ht="15" hidden="false" customHeight="false" outlineLevel="0" collapsed="false">
      <c r="A141" s="2" t="n">
        <v>1003489</v>
      </c>
      <c r="B141" s="2" t="s">
        <v>54</v>
      </c>
      <c r="C141" s="2" t="s">
        <v>40</v>
      </c>
      <c r="D141" s="2" t="n">
        <v>2019</v>
      </c>
      <c r="E141" s="2" t="s">
        <v>34</v>
      </c>
      <c r="F141" s="4" t="n">
        <v>1428934.19</v>
      </c>
      <c r="G141" s="4" t="n">
        <v>1054759.5</v>
      </c>
      <c r="H141" s="4" t="n">
        <v>373961.69</v>
      </c>
      <c r="I141" s="4" t="n">
        <v>452765.094</v>
      </c>
      <c r="J141" s="4" t="n">
        <v>602461.6</v>
      </c>
      <c r="K141" s="4" t="n">
        <v>373707.496</v>
      </c>
      <c r="L141" s="2" t="s">
        <v>30</v>
      </c>
      <c r="M141" s="2" t="s">
        <v>30</v>
      </c>
    </row>
    <row r="142" customFormat="false" ht="15" hidden="false" customHeight="false" outlineLevel="0" collapsed="false">
      <c r="A142" s="2" t="n">
        <v>1003489</v>
      </c>
      <c r="B142" s="2" t="s">
        <v>54</v>
      </c>
      <c r="C142" s="2" t="s">
        <v>40</v>
      </c>
      <c r="D142" s="2" t="n">
        <v>2020</v>
      </c>
      <c r="E142" s="2" t="s">
        <v>34</v>
      </c>
      <c r="F142" s="4" t="n">
        <v>1491749.26</v>
      </c>
      <c r="G142" s="4" t="n">
        <v>1031723.3</v>
      </c>
      <c r="H142" s="4" t="n">
        <v>459819.96</v>
      </c>
      <c r="I142" s="4" t="n">
        <v>437974.452</v>
      </c>
      <c r="J142" s="4" t="n">
        <v>594200.4</v>
      </c>
      <c r="K142" s="4" t="n">
        <v>459574.408</v>
      </c>
      <c r="L142" s="2" t="s">
        <v>30</v>
      </c>
      <c r="M142" s="2" t="s">
        <v>30</v>
      </c>
    </row>
    <row r="143" customFormat="false" ht="15" hidden="false" customHeight="false" outlineLevel="0" collapsed="false">
      <c r="A143" s="2" t="n">
        <v>1003489</v>
      </c>
      <c r="B143" s="2" t="s">
        <v>54</v>
      </c>
      <c r="C143" s="2" t="s">
        <v>40</v>
      </c>
      <c r="D143" s="2" t="n">
        <v>2021</v>
      </c>
      <c r="E143" s="2" t="s">
        <v>34</v>
      </c>
      <c r="F143" s="4" t="n">
        <v>1458822.858</v>
      </c>
      <c r="G143" s="4" t="n">
        <v>998328.3</v>
      </c>
      <c r="H143" s="4" t="n">
        <v>460297.058</v>
      </c>
      <c r="I143" s="4" t="n">
        <v>419254.72</v>
      </c>
      <c r="J143" s="4" t="n">
        <v>579506.5</v>
      </c>
      <c r="K143" s="4" t="n">
        <v>460061.638</v>
      </c>
      <c r="L143" s="2" t="s">
        <v>30</v>
      </c>
      <c r="M143" s="2" t="s">
        <v>30</v>
      </c>
    </row>
    <row r="144" customFormat="false" ht="15" hidden="false" customHeight="false" outlineLevel="0" collapsed="false">
      <c r="A144" s="2" t="n">
        <v>1003489</v>
      </c>
      <c r="B144" s="2" t="s">
        <v>54</v>
      </c>
      <c r="C144" s="2" t="s">
        <v>40</v>
      </c>
      <c r="D144" s="2" t="n">
        <v>2022</v>
      </c>
      <c r="E144" s="2" t="s">
        <v>34</v>
      </c>
      <c r="F144" s="4" t="n">
        <v>1543456.252</v>
      </c>
      <c r="G144" s="4" t="n">
        <v>1112727.9</v>
      </c>
      <c r="H144" s="4" t="n">
        <v>430512.852</v>
      </c>
      <c r="I144" s="4" t="n">
        <v>458022.574</v>
      </c>
      <c r="J144" s="4" t="n">
        <v>655178</v>
      </c>
      <c r="K144" s="4" t="n">
        <v>430255.678</v>
      </c>
      <c r="L144" s="2" t="s">
        <v>30</v>
      </c>
      <c r="M144" s="2" t="s">
        <v>30</v>
      </c>
    </row>
    <row r="145" customFormat="false" ht="15" hidden="false" customHeight="false" outlineLevel="0" collapsed="false">
      <c r="A145" s="2" t="n">
        <v>1003489</v>
      </c>
      <c r="B145" s="2" t="s">
        <v>54</v>
      </c>
      <c r="C145" s="2" t="s">
        <v>40</v>
      </c>
      <c r="D145" s="2" t="n">
        <v>2023</v>
      </c>
      <c r="E145" s="2" t="s">
        <v>34</v>
      </c>
      <c r="F145" s="4" t="n">
        <v>1666091.196</v>
      </c>
      <c r="G145" s="4" t="n">
        <v>878387.8</v>
      </c>
      <c r="H145" s="4" t="n">
        <v>787532.646</v>
      </c>
      <c r="I145" s="4" t="n">
        <v>363035.884</v>
      </c>
      <c r="J145" s="4" t="n">
        <v>515726.2</v>
      </c>
      <c r="K145" s="4" t="n">
        <v>787329.112</v>
      </c>
      <c r="L145" s="2" t="s">
        <v>30</v>
      </c>
      <c r="M145" s="2" t="s">
        <v>30</v>
      </c>
    </row>
    <row r="146" customFormat="false" ht="15" hidden="false" customHeight="false" outlineLevel="0" collapsed="false">
      <c r="A146" s="2" t="n">
        <v>1003993</v>
      </c>
      <c r="B146" s="2" t="s">
        <v>56</v>
      </c>
      <c r="C146" s="2" t="s">
        <v>57</v>
      </c>
      <c r="D146" s="2" t="n">
        <v>2016</v>
      </c>
      <c r="E146" s="2" t="s">
        <v>33</v>
      </c>
      <c r="F146" s="4" t="n">
        <v>471965.698</v>
      </c>
      <c r="G146" s="4" t="n">
        <v>444995</v>
      </c>
      <c r="H146" s="4" t="n">
        <v>26872.448</v>
      </c>
      <c r="I146" s="4" t="n">
        <v>208877.364</v>
      </c>
      <c r="J146" s="4" t="n">
        <v>236333</v>
      </c>
      <c r="K146" s="4" t="n">
        <v>26755.334</v>
      </c>
      <c r="L146" s="2" t="s">
        <v>29</v>
      </c>
      <c r="M146" s="2" t="s">
        <v>29</v>
      </c>
    </row>
    <row r="147" customFormat="false" ht="15" hidden="false" customHeight="false" outlineLevel="0" collapsed="false">
      <c r="A147" s="2" t="n">
        <v>1003993</v>
      </c>
      <c r="B147" s="2" t="s">
        <v>56</v>
      </c>
      <c r="C147" s="2" t="s">
        <v>57</v>
      </c>
      <c r="D147" s="2" t="n">
        <v>2017</v>
      </c>
      <c r="E147" s="2" t="s">
        <v>33</v>
      </c>
      <c r="F147" s="4" t="n">
        <v>1006988.276</v>
      </c>
      <c r="G147" s="4" t="n">
        <v>742711.2</v>
      </c>
      <c r="H147" s="4" t="n">
        <v>264143.326</v>
      </c>
      <c r="I147" s="4" t="n">
        <v>284188.18</v>
      </c>
      <c r="J147" s="4" t="n">
        <v>458816.2</v>
      </c>
      <c r="K147" s="4" t="n">
        <v>263983.896</v>
      </c>
      <c r="L147" s="2" t="s">
        <v>29</v>
      </c>
      <c r="M147" s="2" t="s">
        <v>29</v>
      </c>
    </row>
    <row r="148" customFormat="false" ht="15" hidden="false" customHeight="false" outlineLevel="0" collapsed="false">
      <c r="A148" s="2" t="n">
        <v>1003993</v>
      </c>
      <c r="B148" s="2" t="s">
        <v>56</v>
      </c>
      <c r="C148" s="2" t="s">
        <v>57</v>
      </c>
      <c r="D148" s="2" t="n">
        <v>2018</v>
      </c>
      <c r="E148" s="2" t="s">
        <v>33</v>
      </c>
      <c r="F148" s="4" t="n">
        <v>1113481.604</v>
      </c>
      <c r="G148" s="4" t="n">
        <v>815922.5</v>
      </c>
      <c r="H148" s="4" t="n">
        <v>297410.854</v>
      </c>
      <c r="I148" s="4" t="n">
        <v>314959.664</v>
      </c>
      <c r="J148" s="4" t="n">
        <v>501287.8</v>
      </c>
      <c r="K148" s="4" t="n">
        <v>297234.14</v>
      </c>
      <c r="L148" s="2" t="s">
        <v>29</v>
      </c>
      <c r="M148" s="2" t="s">
        <v>29</v>
      </c>
    </row>
    <row r="149" customFormat="false" ht="15" hidden="false" customHeight="false" outlineLevel="0" collapsed="false">
      <c r="A149" s="2" t="n">
        <v>1003993</v>
      </c>
      <c r="B149" s="2" t="s">
        <v>56</v>
      </c>
      <c r="C149" s="2" t="s">
        <v>57</v>
      </c>
      <c r="D149" s="2" t="n">
        <v>2019</v>
      </c>
      <c r="E149" s="2" t="s">
        <v>33</v>
      </c>
      <c r="F149" s="4" t="n">
        <v>890953.428</v>
      </c>
      <c r="G149" s="4" t="n">
        <v>833159.1</v>
      </c>
      <c r="H149" s="4" t="n">
        <v>57621.578</v>
      </c>
      <c r="I149" s="4" t="n">
        <v>367147.468</v>
      </c>
      <c r="J149" s="4" t="n">
        <v>466390.3</v>
      </c>
      <c r="K149" s="4" t="n">
        <v>57415.66</v>
      </c>
      <c r="L149" s="2" t="s">
        <v>29</v>
      </c>
      <c r="M149" s="2" t="s">
        <v>29</v>
      </c>
    </row>
    <row r="150" customFormat="false" ht="15" hidden="false" customHeight="false" outlineLevel="0" collapsed="false">
      <c r="A150" s="2" t="n">
        <v>1003993</v>
      </c>
      <c r="B150" s="2" t="s">
        <v>56</v>
      </c>
      <c r="C150" s="2" t="s">
        <v>57</v>
      </c>
      <c r="D150" s="2" t="n">
        <v>2020</v>
      </c>
      <c r="E150" s="2" t="s">
        <v>33</v>
      </c>
      <c r="F150" s="4" t="n">
        <v>931867.73</v>
      </c>
      <c r="G150" s="4" t="n">
        <v>887234.3</v>
      </c>
      <c r="H150" s="4" t="n">
        <v>44449.68</v>
      </c>
      <c r="I150" s="4" t="n">
        <v>390255.58</v>
      </c>
      <c r="J150" s="4" t="n">
        <v>497381.5</v>
      </c>
      <c r="K150" s="4" t="n">
        <v>44230.65</v>
      </c>
      <c r="L150" s="2" t="s">
        <v>29</v>
      </c>
      <c r="M150" s="2" t="s">
        <v>29</v>
      </c>
    </row>
    <row r="151" customFormat="false" ht="15" hidden="false" customHeight="false" outlineLevel="0" collapsed="false">
      <c r="A151" s="2" t="n">
        <v>1003993</v>
      </c>
      <c r="B151" s="2" t="s">
        <v>56</v>
      </c>
      <c r="C151" s="2" t="s">
        <v>57</v>
      </c>
      <c r="D151" s="2" t="n">
        <v>2021</v>
      </c>
      <c r="E151" s="2" t="s">
        <v>33</v>
      </c>
      <c r="F151" s="4" t="n">
        <v>951491.91</v>
      </c>
      <c r="G151" s="4" t="n">
        <v>878075.9</v>
      </c>
      <c r="H151" s="4" t="n">
        <v>73232.01</v>
      </c>
      <c r="I151" s="4" t="n">
        <v>391260.928</v>
      </c>
      <c r="J151" s="4" t="n">
        <v>487218.3</v>
      </c>
      <c r="K151" s="4" t="n">
        <v>73012.682</v>
      </c>
      <c r="L151" s="2" t="s">
        <v>29</v>
      </c>
      <c r="M151" s="2" t="s">
        <v>29</v>
      </c>
    </row>
    <row r="152" customFormat="false" ht="15" hidden="false" customHeight="false" outlineLevel="0" collapsed="false">
      <c r="A152" s="2" t="n">
        <v>1003993</v>
      </c>
      <c r="B152" s="2" t="s">
        <v>56</v>
      </c>
      <c r="C152" s="2" t="s">
        <v>57</v>
      </c>
      <c r="D152" s="2" t="n">
        <v>2022</v>
      </c>
      <c r="E152" s="2" t="s">
        <v>34</v>
      </c>
      <c r="F152" s="4" t="n">
        <v>911786.542</v>
      </c>
      <c r="G152" s="4" t="n">
        <v>809343.1</v>
      </c>
      <c r="H152" s="4" t="n">
        <v>102289.692</v>
      </c>
      <c r="I152" s="4" t="n">
        <v>326561.42</v>
      </c>
      <c r="J152" s="4" t="n">
        <v>483118.7</v>
      </c>
      <c r="K152" s="4" t="n">
        <v>102106.422</v>
      </c>
      <c r="L152" s="2" t="s">
        <v>29</v>
      </c>
      <c r="M152" s="2" t="s">
        <v>30</v>
      </c>
    </row>
    <row r="153" customFormat="false" ht="15" hidden="false" customHeight="false" outlineLevel="0" collapsed="false">
      <c r="A153" s="2" t="n">
        <v>1003993</v>
      </c>
      <c r="B153" s="2" t="s">
        <v>56</v>
      </c>
      <c r="C153" s="2" t="s">
        <v>57</v>
      </c>
      <c r="D153" s="2" t="n">
        <v>2023</v>
      </c>
      <c r="E153" s="2" t="s">
        <v>34</v>
      </c>
      <c r="F153" s="4" t="n">
        <v>1027771.684</v>
      </c>
      <c r="G153" s="4" t="n">
        <v>934092.2</v>
      </c>
      <c r="H153" s="4" t="n">
        <v>93484.984</v>
      </c>
      <c r="I153" s="4" t="n">
        <v>413095.244</v>
      </c>
      <c r="J153" s="4" t="n">
        <v>521423.3</v>
      </c>
      <c r="K153" s="4" t="n">
        <v>93253.14</v>
      </c>
      <c r="L153" s="2" t="s">
        <v>29</v>
      </c>
      <c r="M153" s="2" t="s">
        <v>30</v>
      </c>
    </row>
    <row r="154" customFormat="false" ht="15" hidden="false" customHeight="false" outlineLevel="0" collapsed="false">
      <c r="A154" s="2" t="n">
        <v>1004183</v>
      </c>
      <c r="B154" s="2" t="s">
        <v>58</v>
      </c>
      <c r="C154" s="2" t="s">
        <v>59</v>
      </c>
      <c r="D154" s="2" t="n">
        <v>2010</v>
      </c>
      <c r="E154" s="2" t="s">
        <v>33</v>
      </c>
      <c r="F154" s="4" t="n">
        <v>2615392.43</v>
      </c>
      <c r="G154" s="4" t="n">
        <v>1149034.4</v>
      </c>
      <c r="H154" s="4" t="n">
        <v>1466118.28</v>
      </c>
      <c r="I154" s="4" t="n">
        <v>508917.03</v>
      </c>
      <c r="J154" s="4" t="n">
        <v>640643.2</v>
      </c>
      <c r="K154" s="4" t="n">
        <v>1465832.2</v>
      </c>
      <c r="L154" s="2" t="s">
        <v>30</v>
      </c>
      <c r="M154" s="2" t="s">
        <v>29</v>
      </c>
    </row>
    <row r="155" customFormat="false" ht="15" hidden="false" customHeight="false" outlineLevel="0" collapsed="false">
      <c r="A155" s="2" t="n">
        <v>1004183</v>
      </c>
      <c r="B155" s="2" t="s">
        <v>58</v>
      </c>
      <c r="C155" s="2" t="s">
        <v>59</v>
      </c>
      <c r="D155" s="2" t="n">
        <v>2011</v>
      </c>
      <c r="E155" s="2" t="s">
        <v>33</v>
      </c>
      <c r="F155" s="4" t="n">
        <v>2227131.924</v>
      </c>
      <c r="G155" s="4" t="n">
        <v>1105035.3</v>
      </c>
      <c r="H155" s="4" t="n">
        <v>1121862.124</v>
      </c>
      <c r="I155" s="4" t="n">
        <v>497719.524</v>
      </c>
      <c r="J155" s="4" t="n">
        <v>607829.8</v>
      </c>
      <c r="K155" s="4" t="n">
        <v>1121582.6</v>
      </c>
      <c r="L155" s="2" t="s">
        <v>30</v>
      </c>
      <c r="M155" s="2" t="s">
        <v>29</v>
      </c>
    </row>
    <row r="156" customFormat="false" ht="15" hidden="false" customHeight="false" outlineLevel="0" collapsed="false">
      <c r="A156" s="2" t="n">
        <v>1004183</v>
      </c>
      <c r="B156" s="2" t="s">
        <v>58</v>
      </c>
      <c r="C156" s="2" t="s">
        <v>59</v>
      </c>
      <c r="D156" s="2" t="n">
        <v>2012</v>
      </c>
      <c r="E156" s="2" t="s">
        <v>33</v>
      </c>
      <c r="F156" s="4" t="n">
        <v>2120815.352</v>
      </c>
      <c r="G156" s="4" t="n">
        <v>945407</v>
      </c>
      <c r="H156" s="4" t="n">
        <v>1175214.852</v>
      </c>
      <c r="I156" s="4" t="n">
        <v>410940.152</v>
      </c>
      <c r="J156" s="4" t="n">
        <v>534891</v>
      </c>
      <c r="K156" s="4" t="n">
        <v>1174984.2</v>
      </c>
      <c r="L156" s="2" t="s">
        <v>30</v>
      </c>
      <c r="M156" s="2" t="s">
        <v>29</v>
      </c>
    </row>
    <row r="157" customFormat="false" ht="15" hidden="false" customHeight="false" outlineLevel="0" collapsed="false">
      <c r="A157" s="2" t="n">
        <v>1004183</v>
      </c>
      <c r="B157" s="2" t="s">
        <v>58</v>
      </c>
      <c r="C157" s="2" t="s">
        <v>59</v>
      </c>
      <c r="D157" s="2" t="n">
        <v>2013</v>
      </c>
      <c r="E157" s="2" t="s">
        <v>33</v>
      </c>
      <c r="F157" s="4" t="n">
        <v>2104833.986</v>
      </c>
      <c r="G157" s="4" t="n">
        <v>1065716.1</v>
      </c>
      <c r="H157" s="4" t="n">
        <v>1038897.136</v>
      </c>
      <c r="I157" s="4" t="n">
        <v>468681.184</v>
      </c>
      <c r="J157" s="4" t="n">
        <v>597518.8</v>
      </c>
      <c r="K157" s="4" t="n">
        <v>1038634.002</v>
      </c>
      <c r="L157" s="2" t="s">
        <v>30</v>
      </c>
      <c r="M157" s="2" t="s">
        <v>29</v>
      </c>
    </row>
    <row r="158" customFormat="false" ht="15" hidden="false" customHeight="false" outlineLevel="0" collapsed="false">
      <c r="A158" s="2" t="n">
        <v>1004183</v>
      </c>
      <c r="B158" s="2" t="s">
        <v>58</v>
      </c>
      <c r="C158" s="2" t="s">
        <v>59</v>
      </c>
      <c r="D158" s="2" t="n">
        <v>2014</v>
      </c>
      <c r="E158" s="2" t="s">
        <v>33</v>
      </c>
      <c r="F158" s="4" t="n">
        <v>2162953.7</v>
      </c>
      <c r="G158" s="4" t="n">
        <v>1147898.3</v>
      </c>
      <c r="H158" s="4" t="n">
        <v>1014816.65</v>
      </c>
      <c r="I158" s="4" t="n">
        <v>507419.14</v>
      </c>
      <c r="J158" s="4" t="n">
        <v>641002.5</v>
      </c>
      <c r="K158" s="4" t="n">
        <v>1014532.06</v>
      </c>
      <c r="L158" s="2" t="s">
        <v>30</v>
      </c>
      <c r="M158" s="2" t="s">
        <v>29</v>
      </c>
    </row>
    <row r="159" customFormat="false" ht="15" hidden="false" customHeight="false" outlineLevel="0" collapsed="false">
      <c r="A159" s="2" t="n">
        <v>1004183</v>
      </c>
      <c r="B159" s="2" t="s">
        <v>58</v>
      </c>
      <c r="C159" s="2" t="s">
        <v>59</v>
      </c>
      <c r="D159" s="2" t="n">
        <v>2015</v>
      </c>
      <c r="E159" s="2" t="s">
        <v>33</v>
      </c>
      <c r="F159" s="4" t="n">
        <v>2348322.162</v>
      </c>
      <c r="G159" s="4" t="n">
        <v>1189139.8</v>
      </c>
      <c r="H159" s="4" t="n">
        <v>1158935.112</v>
      </c>
      <c r="I159" s="4" t="n">
        <v>525469.972</v>
      </c>
      <c r="J159" s="4" t="n">
        <v>664211.8</v>
      </c>
      <c r="K159" s="4" t="n">
        <v>1158640.39</v>
      </c>
      <c r="L159" s="2" t="s">
        <v>30</v>
      </c>
      <c r="M159" s="2" t="s">
        <v>29</v>
      </c>
    </row>
    <row r="160" customFormat="false" ht="15" hidden="false" customHeight="false" outlineLevel="0" collapsed="false">
      <c r="A160" s="2" t="n">
        <v>1004183</v>
      </c>
      <c r="B160" s="2" t="s">
        <v>58</v>
      </c>
      <c r="C160" s="2" t="s">
        <v>59</v>
      </c>
      <c r="D160" s="2" t="n">
        <v>2016</v>
      </c>
      <c r="E160" s="2" t="s">
        <v>33</v>
      </c>
      <c r="F160" s="4" t="n">
        <v>2183152.196</v>
      </c>
      <c r="G160" s="4" t="n">
        <v>1041823.4</v>
      </c>
      <c r="H160" s="4" t="n">
        <v>1141124.546</v>
      </c>
      <c r="I160" s="4" t="n">
        <v>455752.016</v>
      </c>
      <c r="J160" s="4" t="n">
        <v>586519.1</v>
      </c>
      <c r="K160" s="4" t="n">
        <v>1140881.08</v>
      </c>
      <c r="L160" s="2" t="s">
        <v>30</v>
      </c>
      <c r="M160" s="2" t="s">
        <v>29</v>
      </c>
    </row>
    <row r="161" customFormat="false" ht="15" hidden="false" customHeight="false" outlineLevel="0" collapsed="false">
      <c r="A161" s="2" t="n">
        <v>1004183</v>
      </c>
      <c r="B161" s="2" t="s">
        <v>58</v>
      </c>
      <c r="C161" s="2" t="s">
        <v>59</v>
      </c>
      <c r="D161" s="2" t="n">
        <v>2017</v>
      </c>
      <c r="E161" s="2" t="s">
        <v>33</v>
      </c>
      <c r="F161" s="4" t="n">
        <v>2445427.75</v>
      </c>
      <c r="G161" s="4" t="n">
        <v>1085674.2</v>
      </c>
      <c r="H161" s="4" t="n">
        <v>1359543.05</v>
      </c>
      <c r="I161" s="4" t="n">
        <v>447327.416</v>
      </c>
      <c r="J161" s="4" t="n">
        <v>638808.2</v>
      </c>
      <c r="K161" s="4" t="n">
        <v>1359292.134</v>
      </c>
      <c r="L161" s="2" t="s">
        <v>30</v>
      </c>
      <c r="M161" s="2" t="s">
        <v>29</v>
      </c>
    </row>
    <row r="162" customFormat="false" ht="15" hidden="false" customHeight="false" outlineLevel="0" collapsed="false">
      <c r="A162" s="2" t="n">
        <v>1004183</v>
      </c>
      <c r="B162" s="2" t="s">
        <v>58</v>
      </c>
      <c r="C162" s="2" t="s">
        <v>59</v>
      </c>
      <c r="D162" s="2" t="n">
        <v>2018</v>
      </c>
      <c r="E162" s="2" t="s">
        <v>33</v>
      </c>
      <c r="F162" s="4" t="n">
        <v>2124412.982</v>
      </c>
      <c r="G162" s="4" t="n">
        <v>1109401.2</v>
      </c>
      <c r="H162" s="4" t="n">
        <v>1014789.532</v>
      </c>
      <c r="I162" s="4" t="n">
        <v>472207.272</v>
      </c>
      <c r="J162" s="4" t="n">
        <v>637681.1</v>
      </c>
      <c r="K162" s="4" t="n">
        <v>1014524.61</v>
      </c>
      <c r="L162" s="2" t="s">
        <v>30</v>
      </c>
      <c r="M162" s="2" t="s">
        <v>29</v>
      </c>
    </row>
    <row r="163" customFormat="false" ht="15" hidden="false" customHeight="false" outlineLevel="0" collapsed="false">
      <c r="A163" s="2" t="n">
        <v>1004183</v>
      </c>
      <c r="B163" s="2" t="s">
        <v>58</v>
      </c>
      <c r="C163" s="2" t="s">
        <v>59</v>
      </c>
      <c r="D163" s="2" t="n">
        <v>2019</v>
      </c>
      <c r="E163" s="2" t="s">
        <v>33</v>
      </c>
      <c r="F163" s="4" t="n">
        <v>2393122.966</v>
      </c>
      <c r="G163" s="4" t="n">
        <v>1081106.4</v>
      </c>
      <c r="H163" s="4" t="n">
        <v>1311801.066</v>
      </c>
      <c r="I163" s="4" t="n">
        <v>457660.376</v>
      </c>
      <c r="J163" s="4" t="n">
        <v>623918.4</v>
      </c>
      <c r="K163" s="4" t="n">
        <v>1311544.19</v>
      </c>
      <c r="L163" s="2" t="s">
        <v>30</v>
      </c>
      <c r="M163" s="2" t="s">
        <v>29</v>
      </c>
    </row>
    <row r="164" customFormat="false" ht="15" hidden="false" customHeight="false" outlineLevel="0" collapsed="false">
      <c r="A164" s="2" t="n">
        <v>1004183</v>
      </c>
      <c r="B164" s="2" t="s">
        <v>58</v>
      </c>
      <c r="C164" s="2" t="s">
        <v>59</v>
      </c>
      <c r="D164" s="2" t="n">
        <v>2020</v>
      </c>
      <c r="E164" s="2" t="s">
        <v>33</v>
      </c>
      <c r="F164" s="4" t="n">
        <v>2423738.084</v>
      </c>
      <c r="G164" s="4" t="n">
        <v>1164134.6</v>
      </c>
      <c r="H164" s="4" t="n">
        <v>1259372.734</v>
      </c>
      <c r="I164" s="4" t="n">
        <v>489996.204</v>
      </c>
      <c r="J164" s="4" t="n">
        <v>674644.2</v>
      </c>
      <c r="K164" s="4" t="n">
        <v>1259097.68</v>
      </c>
      <c r="L164" s="2" t="s">
        <v>30</v>
      </c>
      <c r="M164" s="2" t="s">
        <v>29</v>
      </c>
    </row>
    <row r="165" customFormat="false" ht="15" hidden="false" customHeight="false" outlineLevel="0" collapsed="false">
      <c r="A165" s="2" t="n">
        <v>1004183</v>
      </c>
      <c r="B165" s="2" t="s">
        <v>58</v>
      </c>
      <c r="C165" s="2" t="s">
        <v>59</v>
      </c>
      <c r="D165" s="2" t="n">
        <v>2021</v>
      </c>
      <c r="E165" s="2" t="s">
        <v>33</v>
      </c>
      <c r="F165" s="4" t="n">
        <v>2090197.216</v>
      </c>
      <c r="G165" s="4" t="n">
        <v>1111678.8</v>
      </c>
      <c r="H165" s="4" t="n">
        <v>978249.666</v>
      </c>
      <c r="I165" s="4" t="n">
        <v>571018.4</v>
      </c>
      <c r="J165" s="4" t="n">
        <v>541249.5</v>
      </c>
      <c r="K165" s="4" t="n">
        <v>977929.316</v>
      </c>
      <c r="L165" s="2" t="s">
        <v>30</v>
      </c>
      <c r="M165" s="2" t="s">
        <v>29</v>
      </c>
    </row>
    <row r="166" customFormat="false" ht="15" hidden="false" customHeight="false" outlineLevel="0" collapsed="false">
      <c r="A166" s="2" t="n">
        <v>1004183</v>
      </c>
      <c r="B166" s="2" t="s">
        <v>58</v>
      </c>
      <c r="C166" s="2" t="s">
        <v>59</v>
      </c>
      <c r="D166" s="2" t="n">
        <v>2022</v>
      </c>
      <c r="E166" s="2" t="s">
        <v>33</v>
      </c>
      <c r="F166" s="4" t="n">
        <v>2454970.972</v>
      </c>
      <c r="G166" s="4" t="n">
        <v>1131049.4</v>
      </c>
      <c r="H166" s="4" t="n">
        <v>1323697.822</v>
      </c>
      <c r="I166" s="4" t="n">
        <v>475276.56</v>
      </c>
      <c r="J166" s="4" t="n">
        <v>656263.3</v>
      </c>
      <c r="K166" s="4" t="n">
        <v>1323431.112</v>
      </c>
      <c r="L166" s="2" t="s">
        <v>30</v>
      </c>
      <c r="M166" s="2" t="s">
        <v>29</v>
      </c>
    </row>
    <row r="167" customFormat="false" ht="15" hidden="false" customHeight="false" outlineLevel="0" collapsed="false">
      <c r="A167" s="2" t="n">
        <v>1004183</v>
      </c>
      <c r="B167" s="2" t="s">
        <v>58</v>
      </c>
      <c r="C167" s="2" t="s">
        <v>59</v>
      </c>
      <c r="D167" s="2" t="n">
        <v>2023</v>
      </c>
      <c r="E167" s="2" t="s">
        <v>33</v>
      </c>
      <c r="F167" s="4" t="n">
        <v>2433916.714</v>
      </c>
      <c r="G167" s="4" t="n">
        <v>1135406.3</v>
      </c>
      <c r="H167" s="4" t="n">
        <v>1298309.414</v>
      </c>
      <c r="I167" s="4" t="n">
        <v>427215.392</v>
      </c>
      <c r="J167" s="4" t="n">
        <v>708631.5</v>
      </c>
      <c r="K167" s="4" t="n">
        <v>1298069.822</v>
      </c>
      <c r="L167" s="2" t="s">
        <v>30</v>
      </c>
      <c r="M167" s="2" t="s">
        <v>29</v>
      </c>
    </row>
    <row r="168" customFormat="false" ht="15" hidden="false" customHeight="false" outlineLevel="0" collapsed="false">
      <c r="A168" s="2" t="n">
        <v>1004340</v>
      </c>
      <c r="B168" s="2" t="s">
        <v>60</v>
      </c>
      <c r="C168" s="2" t="s">
        <v>61</v>
      </c>
      <c r="D168" s="2" t="n">
        <v>2010</v>
      </c>
      <c r="E168" s="2" t="s">
        <v>34</v>
      </c>
      <c r="F168" s="4" t="n">
        <v>1946004.76</v>
      </c>
      <c r="G168" s="4" t="n">
        <v>1340428</v>
      </c>
      <c r="H168" s="4" t="n">
        <v>605422.76</v>
      </c>
      <c r="I168" s="4" t="n">
        <v>318303.76</v>
      </c>
      <c r="J168" s="4" t="n">
        <v>1022463</v>
      </c>
      <c r="K168" s="4" t="n">
        <v>605238</v>
      </c>
      <c r="L168" s="2" t="s">
        <v>30</v>
      </c>
      <c r="M168" s="2" t="s">
        <v>30</v>
      </c>
    </row>
    <row r="169" customFormat="false" ht="15" hidden="false" customHeight="false" outlineLevel="0" collapsed="false">
      <c r="A169" s="2" t="n">
        <v>1004340</v>
      </c>
      <c r="B169" s="2" t="s">
        <v>60</v>
      </c>
      <c r="C169" s="2" t="s">
        <v>61</v>
      </c>
      <c r="D169" s="2" t="n">
        <v>2011</v>
      </c>
      <c r="E169" s="2" t="s">
        <v>34</v>
      </c>
      <c r="F169" s="4" t="n">
        <v>1899220.8</v>
      </c>
      <c r="G169" s="4" t="n">
        <v>1392888</v>
      </c>
      <c r="H169" s="4" t="n">
        <v>506182.8</v>
      </c>
      <c r="I169" s="4" t="n">
        <v>310391.8</v>
      </c>
      <c r="J169" s="4" t="n">
        <v>1082825</v>
      </c>
      <c r="K169" s="4" t="n">
        <v>506004</v>
      </c>
      <c r="L169" s="2" t="s">
        <v>30</v>
      </c>
      <c r="M169" s="2" t="s">
        <v>30</v>
      </c>
    </row>
    <row r="170" customFormat="false" ht="15" hidden="false" customHeight="false" outlineLevel="0" collapsed="false">
      <c r="A170" s="2" t="n">
        <v>1004340</v>
      </c>
      <c r="B170" s="2" t="s">
        <v>60</v>
      </c>
      <c r="C170" s="2" t="s">
        <v>61</v>
      </c>
      <c r="D170" s="2" t="n">
        <v>2012</v>
      </c>
      <c r="E170" s="2" t="s">
        <v>34</v>
      </c>
      <c r="F170" s="4" t="n">
        <v>1724205.55</v>
      </c>
      <c r="G170" s="4" t="n">
        <v>1235164</v>
      </c>
      <c r="H170" s="4" t="n">
        <v>488898.8</v>
      </c>
      <c r="I170" s="4" t="n">
        <v>292257.55</v>
      </c>
      <c r="J170" s="4" t="n">
        <v>943228</v>
      </c>
      <c r="K170" s="4" t="n">
        <v>488720</v>
      </c>
      <c r="L170" s="2" t="s">
        <v>30</v>
      </c>
      <c r="M170" s="2" t="s">
        <v>30</v>
      </c>
    </row>
    <row r="171" customFormat="false" ht="15" hidden="false" customHeight="false" outlineLevel="0" collapsed="false">
      <c r="A171" s="2" t="n">
        <v>1004340</v>
      </c>
      <c r="B171" s="2" t="s">
        <v>60</v>
      </c>
      <c r="C171" s="2" t="s">
        <v>61</v>
      </c>
      <c r="D171" s="2" t="n">
        <v>2013</v>
      </c>
      <c r="E171" s="2" t="s">
        <v>34</v>
      </c>
      <c r="F171" s="4" t="n">
        <v>2046499.72</v>
      </c>
      <c r="G171" s="4" t="n">
        <v>1403065</v>
      </c>
      <c r="H171" s="4" t="n">
        <v>643274.72</v>
      </c>
      <c r="I171" s="4" t="n">
        <v>328235.72</v>
      </c>
      <c r="J171" s="4" t="n">
        <v>1075180</v>
      </c>
      <c r="K171" s="4" t="n">
        <v>643084</v>
      </c>
      <c r="L171" s="2" t="s">
        <v>30</v>
      </c>
      <c r="M171" s="2" t="s">
        <v>30</v>
      </c>
    </row>
    <row r="172" customFormat="false" ht="15" hidden="false" customHeight="false" outlineLevel="0" collapsed="false">
      <c r="A172" s="2" t="n">
        <v>1004340</v>
      </c>
      <c r="B172" s="2" t="s">
        <v>60</v>
      </c>
      <c r="C172" s="2" t="s">
        <v>61</v>
      </c>
      <c r="D172" s="2" t="n">
        <v>2014</v>
      </c>
      <c r="E172" s="2" t="s">
        <v>34</v>
      </c>
      <c r="F172" s="4" t="n">
        <v>2090457.84</v>
      </c>
      <c r="G172" s="4" t="n">
        <v>1529454.6</v>
      </c>
      <c r="H172" s="4" t="n">
        <v>560837.49</v>
      </c>
      <c r="I172" s="4" t="n">
        <v>343568.524</v>
      </c>
      <c r="J172" s="4" t="n">
        <v>1186249.4</v>
      </c>
      <c r="K172" s="4" t="n">
        <v>560639.916</v>
      </c>
      <c r="L172" s="2" t="s">
        <v>30</v>
      </c>
      <c r="M172" s="2" t="s">
        <v>30</v>
      </c>
    </row>
    <row r="173" customFormat="false" ht="15" hidden="false" customHeight="false" outlineLevel="0" collapsed="false">
      <c r="A173" s="2" t="n">
        <v>1004340</v>
      </c>
      <c r="B173" s="2" t="s">
        <v>60</v>
      </c>
      <c r="C173" s="2" t="s">
        <v>61</v>
      </c>
      <c r="D173" s="2" t="n">
        <v>2015</v>
      </c>
      <c r="E173" s="2" t="s">
        <v>34</v>
      </c>
      <c r="F173" s="4" t="n">
        <v>2014343.748</v>
      </c>
      <c r="G173" s="4" t="n">
        <v>1501921.4</v>
      </c>
      <c r="H173" s="4" t="n">
        <v>512254.848</v>
      </c>
      <c r="I173" s="4" t="n">
        <v>349083.86</v>
      </c>
      <c r="J173" s="4" t="n">
        <v>1153204.7</v>
      </c>
      <c r="K173" s="4" t="n">
        <v>512055.188</v>
      </c>
      <c r="L173" s="2" t="s">
        <v>30</v>
      </c>
      <c r="M173" s="2" t="s">
        <v>30</v>
      </c>
    </row>
    <row r="174" customFormat="false" ht="15" hidden="false" customHeight="false" outlineLevel="0" collapsed="false">
      <c r="A174" s="2" t="n">
        <v>1004340</v>
      </c>
      <c r="B174" s="2" t="s">
        <v>60</v>
      </c>
      <c r="C174" s="2" t="s">
        <v>61</v>
      </c>
      <c r="D174" s="2" t="n">
        <v>2016</v>
      </c>
      <c r="E174" s="2" t="s">
        <v>34</v>
      </c>
      <c r="F174" s="4" t="n">
        <v>2036550.678</v>
      </c>
      <c r="G174" s="4" t="n">
        <v>1373577</v>
      </c>
      <c r="H174" s="4" t="n">
        <v>662807.428</v>
      </c>
      <c r="I174" s="4" t="n">
        <v>346211.42</v>
      </c>
      <c r="J174" s="4" t="n">
        <v>1027730</v>
      </c>
      <c r="K174" s="4" t="n">
        <v>662609.258</v>
      </c>
      <c r="L174" s="2" t="s">
        <v>30</v>
      </c>
      <c r="M174" s="2" t="s">
        <v>30</v>
      </c>
    </row>
    <row r="175" customFormat="false" ht="15" hidden="false" customHeight="false" outlineLevel="0" collapsed="false">
      <c r="A175" s="2" t="n">
        <v>1004340</v>
      </c>
      <c r="B175" s="2" t="s">
        <v>60</v>
      </c>
      <c r="C175" s="2" t="s">
        <v>61</v>
      </c>
      <c r="D175" s="2" t="n">
        <v>2017</v>
      </c>
      <c r="E175" s="2" t="s">
        <v>34</v>
      </c>
      <c r="F175" s="4" t="n">
        <v>1785426.264</v>
      </c>
      <c r="G175" s="4" t="n">
        <v>1210745.7</v>
      </c>
      <c r="H175" s="4" t="n">
        <v>574519.564</v>
      </c>
      <c r="I175" s="4" t="n">
        <v>337718.512</v>
      </c>
      <c r="J175" s="4" t="n">
        <v>873380.1</v>
      </c>
      <c r="K175" s="4" t="n">
        <v>574327.652</v>
      </c>
      <c r="L175" s="2" t="s">
        <v>30</v>
      </c>
      <c r="M175" s="2" t="s">
        <v>30</v>
      </c>
    </row>
    <row r="176" customFormat="false" ht="15" hidden="false" customHeight="false" outlineLevel="0" collapsed="false">
      <c r="A176" s="2" t="n">
        <v>1004340</v>
      </c>
      <c r="B176" s="2" t="s">
        <v>60</v>
      </c>
      <c r="C176" s="2" t="s">
        <v>61</v>
      </c>
      <c r="D176" s="2" t="n">
        <v>2018</v>
      </c>
      <c r="E176" s="2" t="s">
        <v>34</v>
      </c>
      <c r="F176" s="4" t="n">
        <v>1808477.702</v>
      </c>
      <c r="G176" s="4" t="n">
        <v>1399563</v>
      </c>
      <c r="H176" s="4" t="n">
        <v>408743.952</v>
      </c>
      <c r="I176" s="4" t="n">
        <v>357283.884</v>
      </c>
      <c r="J176" s="4" t="n">
        <v>1042653.4</v>
      </c>
      <c r="K176" s="4" t="n">
        <v>408540.418</v>
      </c>
      <c r="L176" s="2" t="s">
        <v>30</v>
      </c>
      <c r="M176" s="2" t="s">
        <v>30</v>
      </c>
    </row>
    <row r="177" customFormat="false" ht="15" hidden="false" customHeight="false" outlineLevel="0" collapsed="false">
      <c r="A177" s="2" t="n">
        <v>1004340</v>
      </c>
      <c r="B177" s="2" t="s">
        <v>60</v>
      </c>
      <c r="C177" s="2" t="s">
        <v>61</v>
      </c>
      <c r="D177" s="2" t="n">
        <v>2019</v>
      </c>
      <c r="E177" s="2" t="s">
        <v>34</v>
      </c>
      <c r="F177" s="4" t="n">
        <v>1695111.484</v>
      </c>
      <c r="G177" s="4" t="n">
        <v>1402645.2</v>
      </c>
      <c r="H177" s="4" t="n">
        <v>292280.784</v>
      </c>
      <c r="I177" s="4" t="n">
        <v>387266.816</v>
      </c>
      <c r="J177" s="4" t="n">
        <v>1015785</v>
      </c>
      <c r="K177" s="4" t="n">
        <v>292059.668</v>
      </c>
      <c r="L177" s="2" t="s">
        <v>30</v>
      </c>
      <c r="M177" s="2" t="s">
        <v>30</v>
      </c>
    </row>
    <row r="178" customFormat="false" ht="15" hidden="false" customHeight="false" outlineLevel="0" collapsed="false">
      <c r="A178" s="2" t="n">
        <v>1004340</v>
      </c>
      <c r="B178" s="2" t="s">
        <v>60</v>
      </c>
      <c r="C178" s="2" t="s">
        <v>61</v>
      </c>
      <c r="D178" s="2" t="n">
        <v>2020</v>
      </c>
      <c r="E178" s="2" t="s">
        <v>34</v>
      </c>
      <c r="F178" s="4" t="n">
        <v>1732541.686</v>
      </c>
      <c r="G178" s="4" t="n">
        <v>1336687.9</v>
      </c>
      <c r="H178" s="4" t="n">
        <v>395679.036</v>
      </c>
      <c r="I178" s="4" t="n">
        <v>366489.252</v>
      </c>
      <c r="J178" s="4" t="n">
        <v>970581.7</v>
      </c>
      <c r="K178" s="4" t="n">
        <v>395470.734</v>
      </c>
      <c r="L178" s="2" t="s">
        <v>30</v>
      </c>
      <c r="M178" s="2" t="s">
        <v>30</v>
      </c>
    </row>
    <row r="179" customFormat="false" ht="15" hidden="false" customHeight="false" outlineLevel="0" collapsed="false">
      <c r="A179" s="2" t="n">
        <v>1004340</v>
      </c>
      <c r="B179" s="2" t="s">
        <v>60</v>
      </c>
      <c r="C179" s="2" t="s">
        <v>61</v>
      </c>
      <c r="D179" s="2" t="n">
        <v>2021</v>
      </c>
      <c r="E179" s="2" t="s">
        <v>34</v>
      </c>
      <c r="F179" s="4" t="n">
        <v>1877928.274</v>
      </c>
      <c r="G179" s="4" t="n">
        <v>1429126.7</v>
      </c>
      <c r="H179" s="4" t="n">
        <v>448613.074</v>
      </c>
      <c r="I179" s="4" t="n">
        <v>395881.892</v>
      </c>
      <c r="J179" s="4" t="n">
        <v>1033658</v>
      </c>
      <c r="K179" s="4" t="n">
        <v>448388.382</v>
      </c>
      <c r="L179" s="2" t="s">
        <v>30</v>
      </c>
      <c r="M179" s="2" t="s">
        <v>30</v>
      </c>
    </row>
    <row r="180" customFormat="false" ht="15" hidden="false" customHeight="false" outlineLevel="0" collapsed="false">
      <c r="A180" s="2" t="n">
        <v>1004340</v>
      </c>
      <c r="B180" s="2" t="s">
        <v>60</v>
      </c>
      <c r="C180" s="2" t="s">
        <v>61</v>
      </c>
      <c r="D180" s="2" t="n">
        <v>2022</v>
      </c>
      <c r="E180" s="2" t="s">
        <v>34</v>
      </c>
      <c r="F180" s="4" t="n">
        <v>1250737.76</v>
      </c>
      <c r="G180" s="4" t="n">
        <v>1237900.1</v>
      </c>
      <c r="H180" s="4" t="n">
        <v>12678.41</v>
      </c>
      <c r="I180" s="4" t="n">
        <v>335391.876</v>
      </c>
      <c r="J180" s="4" t="n">
        <v>902857.3</v>
      </c>
      <c r="K180" s="4" t="n">
        <v>12488.584</v>
      </c>
      <c r="L180" s="2" t="s">
        <v>30</v>
      </c>
      <c r="M180" s="2" t="s">
        <v>30</v>
      </c>
    </row>
    <row r="181" customFormat="false" ht="15" hidden="false" customHeight="false" outlineLevel="0" collapsed="false">
      <c r="A181" s="2" t="n">
        <v>1004340</v>
      </c>
      <c r="B181" s="2" t="s">
        <v>60</v>
      </c>
      <c r="C181" s="2" t="s">
        <v>61</v>
      </c>
      <c r="D181" s="2" t="n">
        <v>2023</v>
      </c>
      <c r="E181" s="2" t="s">
        <v>34</v>
      </c>
      <c r="F181" s="4" t="n">
        <v>1566702.416</v>
      </c>
      <c r="G181" s="4" t="n">
        <v>1508047.5</v>
      </c>
      <c r="H181" s="4" t="n">
        <v>58472.666</v>
      </c>
      <c r="I181" s="4" t="n">
        <v>381986.292</v>
      </c>
      <c r="J181" s="4" t="n">
        <v>1126460.7</v>
      </c>
      <c r="K181" s="4" t="n">
        <v>58255.424</v>
      </c>
      <c r="L181" s="2" t="s">
        <v>30</v>
      </c>
      <c r="M181" s="2" t="s">
        <v>30</v>
      </c>
    </row>
    <row r="182" customFormat="false" ht="15" hidden="false" customHeight="false" outlineLevel="0" collapsed="false">
      <c r="A182" s="2" t="n">
        <v>1005502</v>
      </c>
      <c r="B182" s="2" t="s">
        <v>62</v>
      </c>
      <c r="C182" s="2" t="s">
        <v>63</v>
      </c>
      <c r="D182" s="2" t="n">
        <v>2010</v>
      </c>
      <c r="E182" s="2" t="s">
        <v>34</v>
      </c>
      <c r="F182" s="4" t="n">
        <v>849506.796</v>
      </c>
      <c r="G182" s="4" t="n">
        <v>577624.4</v>
      </c>
      <c r="H182" s="4" t="n">
        <v>271769.146</v>
      </c>
      <c r="I182" s="4" t="n">
        <v>240436.85</v>
      </c>
      <c r="J182" s="4" t="n">
        <v>337434.9</v>
      </c>
      <c r="K182" s="4" t="n">
        <v>271635.046</v>
      </c>
      <c r="L182" s="2" t="s">
        <v>30</v>
      </c>
      <c r="M182" s="2" t="s">
        <v>30</v>
      </c>
    </row>
    <row r="183" customFormat="false" ht="15" hidden="false" customHeight="false" outlineLevel="0" collapsed="false">
      <c r="A183" s="2" t="n">
        <v>1005502</v>
      </c>
      <c r="B183" s="2" t="s">
        <v>62</v>
      </c>
      <c r="C183" s="2" t="s">
        <v>63</v>
      </c>
      <c r="D183" s="2" t="n">
        <v>2011</v>
      </c>
      <c r="E183" s="2" t="s">
        <v>34</v>
      </c>
      <c r="F183" s="4" t="n">
        <v>740394.74</v>
      </c>
      <c r="G183" s="4" t="n">
        <v>513284.3</v>
      </c>
      <c r="H183" s="4" t="n">
        <v>227010.44</v>
      </c>
      <c r="I183" s="4" t="n">
        <v>212161.5</v>
      </c>
      <c r="J183" s="4" t="n">
        <v>301342</v>
      </c>
      <c r="K183" s="4" t="n">
        <v>226891.24</v>
      </c>
      <c r="L183" s="2" t="s">
        <v>30</v>
      </c>
      <c r="M183" s="2" t="s">
        <v>30</v>
      </c>
    </row>
    <row r="184" customFormat="false" ht="15" hidden="false" customHeight="false" outlineLevel="0" collapsed="false">
      <c r="A184" s="2" t="n">
        <v>1005502</v>
      </c>
      <c r="B184" s="2" t="s">
        <v>62</v>
      </c>
      <c r="C184" s="2" t="s">
        <v>63</v>
      </c>
      <c r="D184" s="2" t="n">
        <v>2012</v>
      </c>
      <c r="E184" s="2" t="s">
        <v>34</v>
      </c>
      <c r="F184" s="4" t="n">
        <v>732906.852</v>
      </c>
      <c r="G184" s="4" t="n">
        <v>558483.8</v>
      </c>
      <c r="H184" s="4" t="n">
        <v>174314.802</v>
      </c>
      <c r="I184" s="4" t="n">
        <v>230060.484</v>
      </c>
      <c r="J184" s="4" t="n">
        <v>328660.6</v>
      </c>
      <c r="K184" s="4" t="n">
        <v>174185.768</v>
      </c>
      <c r="L184" s="2" t="s">
        <v>30</v>
      </c>
      <c r="M184" s="2" t="s">
        <v>30</v>
      </c>
    </row>
    <row r="185" customFormat="false" ht="15" hidden="false" customHeight="false" outlineLevel="0" collapsed="false">
      <c r="A185" s="2" t="n">
        <v>1005502</v>
      </c>
      <c r="B185" s="2" t="s">
        <v>62</v>
      </c>
      <c r="C185" s="2" t="s">
        <v>63</v>
      </c>
      <c r="D185" s="2" t="n">
        <v>2013</v>
      </c>
      <c r="E185" s="2" t="s">
        <v>34</v>
      </c>
      <c r="F185" s="4" t="n">
        <v>631119.124</v>
      </c>
      <c r="G185" s="4" t="n">
        <v>492221</v>
      </c>
      <c r="H185" s="4" t="n">
        <v>138797.374</v>
      </c>
      <c r="I185" s="4" t="n">
        <v>214111.844</v>
      </c>
      <c r="J185" s="4" t="n">
        <v>278330</v>
      </c>
      <c r="K185" s="4" t="n">
        <v>138677.28</v>
      </c>
      <c r="L185" s="2" t="s">
        <v>30</v>
      </c>
      <c r="M185" s="2" t="s">
        <v>30</v>
      </c>
    </row>
    <row r="186" customFormat="false" ht="15" hidden="false" customHeight="false" outlineLevel="0" collapsed="false">
      <c r="A186" s="2" t="n">
        <v>1005502</v>
      </c>
      <c r="B186" s="2" t="s">
        <v>62</v>
      </c>
      <c r="C186" s="2" t="s">
        <v>63</v>
      </c>
      <c r="D186" s="2" t="n">
        <v>2014</v>
      </c>
      <c r="E186" s="2" t="s">
        <v>34</v>
      </c>
      <c r="F186" s="4" t="n">
        <v>626657.436</v>
      </c>
      <c r="G186" s="4" t="n">
        <v>609638.3</v>
      </c>
      <c r="H186" s="4" t="n">
        <v>16906.136</v>
      </c>
      <c r="I186" s="4" t="n">
        <v>240273.196</v>
      </c>
      <c r="J186" s="4" t="n">
        <v>369612.8</v>
      </c>
      <c r="K186" s="4" t="n">
        <v>16771.44</v>
      </c>
      <c r="L186" s="2" t="s">
        <v>30</v>
      </c>
      <c r="M186" s="2" t="s">
        <v>30</v>
      </c>
    </row>
    <row r="187" customFormat="false" ht="15" hidden="false" customHeight="false" outlineLevel="0" collapsed="false">
      <c r="A187" s="2" t="n">
        <v>1005502</v>
      </c>
      <c r="B187" s="2" t="s">
        <v>62</v>
      </c>
      <c r="C187" s="2" t="s">
        <v>63</v>
      </c>
      <c r="D187" s="2" t="n">
        <v>2015</v>
      </c>
      <c r="E187" s="2" t="s">
        <v>34</v>
      </c>
      <c r="F187" s="4" t="n">
        <v>697448.7</v>
      </c>
      <c r="G187" s="4" t="n">
        <v>654876.1</v>
      </c>
      <c r="H187" s="4" t="n">
        <v>42450.1</v>
      </c>
      <c r="I187" s="4" t="n">
        <v>260430.12</v>
      </c>
      <c r="J187" s="4" t="n">
        <v>394714.5</v>
      </c>
      <c r="K187" s="4" t="n">
        <v>42304.08</v>
      </c>
      <c r="L187" s="2" t="s">
        <v>30</v>
      </c>
      <c r="M187" s="2" t="s">
        <v>30</v>
      </c>
    </row>
    <row r="188" customFormat="false" ht="15" hidden="false" customHeight="false" outlineLevel="0" collapsed="false">
      <c r="A188" s="2" t="n">
        <v>1005502</v>
      </c>
      <c r="B188" s="2" t="s">
        <v>62</v>
      </c>
      <c r="C188" s="2" t="s">
        <v>63</v>
      </c>
      <c r="D188" s="2" t="n">
        <v>2016</v>
      </c>
      <c r="E188" s="2" t="s">
        <v>34</v>
      </c>
      <c r="F188" s="4" t="n">
        <v>690362.964</v>
      </c>
      <c r="G188" s="4" t="n">
        <v>643726.5</v>
      </c>
      <c r="H188" s="4" t="n">
        <v>46515.714</v>
      </c>
      <c r="I188" s="4" t="n">
        <v>256282.984</v>
      </c>
      <c r="J188" s="4" t="n">
        <v>387708.2</v>
      </c>
      <c r="K188" s="4" t="n">
        <v>46371.78</v>
      </c>
      <c r="L188" s="2" t="s">
        <v>30</v>
      </c>
      <c r="M188" s="2" t="s">
        <v>30</v>
      </c>
    </row>
    <row r="189" customFormat="false" ht="15" hidden="false" customHeight="false" outlineLevel="0" collapsed="false">
      <c r="A189" s="2" t="n">
        <v>1005502</v>
      </c>
      <c r="B189" s="2" t="s">
        <v>62</v>
      </c>
      <c r="C189" s="2" t="s">
        <v>63</v>
      </c>
      <c r="D189" s="2" t="n">
        <v>2017</v>
      </c>
      <c r="E189" s="2" t="s">
        <v>34</v>
      </c>
      <c r="F189" s="4" t="n">
        <v>698384.32</v>
      </c>
      <c r="G189" s="4" t="n">
        <v>657373</v>
      </c>
      <c r="H189" s="4" t="n">
        <v>40890.07</v>
      </c>
      <c r="I189" s="4" t="n">
        <v>257714.88</v>
      </c>
      <c r="J189" s="4" t="n">
        <v>399923.9</v>
      </c>
      <c r="K189" s="4" t="n">
        <v>40745.54</v>
      </c>
      <c r="L189" s="2" t="s">
        <v>30</v>
      </c>
      <c r="M189" s="2" t="s">
        <v>30</v>
      </c>
    </row>
    <row r="190" customFormat="false" ht="15" hidden="false" customHeight="false" outlineLevel="0" collapsed="false">
      <c r="A190" s="2" t="n">
        <v>1005502</v>
      </c>
      <c r="B190" s="2" t="s">
        <v>62</v>
      </c>
      <c r="C190" s="2" t="s">
        <v>63</v>
      </c>
      <c r="D190" s="2" t="n">
        <v>2018</v>
      </c>
      <c r="E190" s="2" t="s">
        <v>34</v>
      </c>
      <c r="F190" s="4" t="n">
        <v>822930.72</v>
      </c>
      <c r="G190" s="4" t="n">
        <v>687356.5</v>
      </c>
      <c r="H190" s="4" t="n">
        <v>135445.47</v>
      </c>
      <c r="I190" s="4" t="n">
        <v>273534.92</v>
      </c>
      <c r="J190" s="4" t="n">
        <v>414103.8</v>
      </c>
      <c r="K190" s="4" t="n">
        <v>135292</v>
      </c>
      <c r="L190" s="2" t="s">
        <v>30</v>
      </c>
      <c r="M190" s="2" t="s">
        <v>30</v>
      </c>
    </row>
    <row r="191" customFormat="false" ht="15" hidden="false" customHeight="false" outlineLevel="0" collapsed="false">
      <c r="A191" s="2" t="n">
        <v>1005502</v>
      </c>
      <c r="B191" s="2" t="s">
        <v>62</v>
      </c>
      <c r="C191" s="2" t="s">
        <v>63</v>
      </c>
      <c r="D191" s="2" t="n">
        <v>2019</v>
      </c>
      <c r="E191" s="2" t="s">
        <v>34</v>
      </c>
      <c r="F191" s="4" t="n">
        <v>692074.68</v>
      </c>
      <c r="G191" s="4" t="n">
        <v>610389.6</v>
      </c>
      <c r="H191" s="4" t="n">
        <v>81565.58</v>
      </c>
      <c r="I191" s="4" t="n">
        <v>253537.14</v>
      </c>
      <c r="J191" s="4" t="n">
        <v>357115</v>
      </c>
      <c r="K191" s="4" t="n">
        <v>81422.54</v>
      </c>
      <c r="L191" s="2" t="s">
        <v>30</v>
      </c>
      <c r="M191" s="2" t="s">
        <v>30</v>
      </c>
    </row>
    <row r="192" customFormat="false" ht="15" hidden="false" customHeight="false" outlineLevel="0" collapsed="false">
      <c r="A192" s="2" t="n">
        <v>1005502</v>
      </c>
      <c r="B192" s="2" t="s">
        <v>62</v>
      </c>
      <c r="C192" s="2" t="s">
        <v>63</v>
      </c>
      <c r="D192" s="2" t="n">
        <v>2020</v>
      </c>
      <c r="E192" s="2" t="s">
        <v>34</v>
      </c>
      <c r="F192" s="4" t="n">
        <v>841698.98</v>
      </c>
      <c r="G192" s="4" t="n">
        <v>747122.3</v>
      </c>
      <c r="H192" s="4" t="n">
        <v>94439.18</v>
      </c>
      <c r="I192" s="4" t="n">
        <v>291904.8</v>
      </c>
      <c r="J192" s="4" t="n">
        <v>455518.9</v>
      </c>
      <c r="K192" s="4" t="n">
        <v>94275.28</v>
      </c>
      <c r="L192" s="2" t="s">
        <v>30</v>
      </c>
      <c r="M192" s="2" t="s">
        <v>30</v>
      </c>
    </row>
    <row r="193" customFormat="false" ht="15" hidden="false" customHeight="false" outlineLevel="0" collapsed="false">
      <c r="A193" s="2" t="n">
        <v>1005502</v>
      </c>
      <c r="B193" s="2" t="s">
        <v>62</v>
      </c>
      <c r="C193" s="2" t="s">
        <v>63</v>
      </c>
      <c r="D193" s="2" t="n">
        <v>2021</v>
      </c>
      <c r="E193" s="2" t="s">
        <v>34</v>
      </c>
      <c r="F193" s="4" t="n">
        <v>760206.164</v>
      </c>
      <c r="G193" s="4" t="n">
        <v>713798.1</v>
      </c>
      <c r="H193" s="4" t="n">
        <v>46277.314</v>
      </c>
      <c r="I193" s="4" t="n">
        <v>277867.704</v>
      </c>
      <c r="J193" s="4" t="n">
        <v>436217</v>
      </c>
      <c r="K193" s="4" t="n">
        <v>46121.46</v>
      </c>
      <c r="L193" s="2" t="s">
        <v>30</v>
      </c>
      <c r="M193" s="2" t="s">
        <v>30</v>
      </c>
    </row>
    <row r="194" customFormat="false" ht="15" hidden="false" customHeight="false" outlineLevel="0" collapsed="false">
      <c r="A194" s="2" t="n">
        <v>1005502</v>
      </c>
      <c r="B194" s="2" t="s">
        <v>62</v>
      </c>
      <c r="C194" s="2" t="s">
        <v>63</v>
      </c>
      <c r="D194" s="2" t="n">
        <v>2022</v>
      </c>
      <c r="E194" s="2" t="s">
        <v>34</v>
      </c>
      <c r="F194" s="4" t="n">
        <v>682738.788</v>
      </c>
      <c r="G194" s="4" t="n">
        <v>623635.1</v>
      </c>
      <c r="H194" s="4" t="n">
        <v>58983.438</v>
      </c>
      <c r="I194" s="4" t="n">
        <v>255850.688</v>
      </c>
      <c r="J194" s="4" t="n">
        <v>368048</v>
      </c>
      <c r="K194" s="4" t="n">
        <v>58840.1</v>
      </c>
      <c r="L194" s="2" t="s">
        <v>30</v>
      </c>
      <c r="M194" s="2" t="s">
        <v>30</v>
      </c>
    </row>
    <row r="195" customFormat="false" ht="15" hidden="false" customHeight="false" outlineLevel="0" collapsed="false">
      <c r="A195" s="2" t="n">
        <v>1005502</v>
      </c>
      <c r="B195" s="2" t="s">
        <v>62</v>
      </c>
      <c r="C195" s="2" t="s">
        <v>63</v>
      </c>
      <c r="D195" s="2" t="n">
        <v>2023</v>
      </c>
      <c r="E195" s="2" t="s">
        <v>34</v>
      </c>
      <c r="F195" s="4" t="n">
        <v>807616.216</v>
      </c>
      <c r="G195" s="4" t="n">
        <v>737494.1</v>
      </c>
      <c r="H195" s="4" t="n">
        <v>69990.366</v>
      </c>
      <c r="I195" s="4" t="n">
        <v>280323.996</v>
      </c>
      <c r="J195" s="4" t="n">
        <v>457458.9</v>
      </c>
      <c r="K195" s="4" t="n">
        <v>69833.32</v>
      </c>
      <c r="L195" s="2" t="s">
        <v>30</v>
      </c>
      <c r="M195" s="2" t="s">
        <v>30</v>
      </c>
    </row>
    <row r="196" customFormat="false" ht="15" hidden="false" customHeight="false" outlineLevel="0" collapsed="false">
      <c r="A196" s="2" t="n">
        <v>1005766</v>
      </c>
      <c r="B196" s="2" t="s">
        <v>64</v>
      </c>
      <c r="C196" s="2" t="s">
        <v>65</v>
      </c>
      <c r="D196" s="2" t="n">
        <v>2010</v>
      </c>
      <c r="E196" s="2" t="s">
        <v>34</v>
      </c>
      <c r="F196" s="4" t="n">
        <v>178291.616</v>
      </c>
      <c r="G196" s="4" t="n">
        <v>177779</v>
      </c>
      <c r="H196" s="4" t="n">
        <v>481.866</v>
      </c>
      <c r="I196" s="4" t="n">
        <v>65199.51</v>
      </c>
      <c r="J196" s="4" t="n">
        <v>112646</v>
      </c>
      <c r="K196" s="4" t="n">
        <v>446.106</v>
      </c>
      <c r="L196" s="2" t="s">
        <v>30</v>
      </c>
      <c r="M196" s="2" t="s">
        <v>30</v>
      </c>
    </row>
    <row r="197" customFormat="false" ht="15" hidden="false" customHeight="false" outlineLevel="0" collapsed="false">
      <c r="A197" s="2" t="n">
        <v>1005766</v>
      </c>
      <c r="B197" s="2" t="s">
        <v>64</v>
      </c>
      <c r="C197" s="2" t="s">
        <v>65</v>
      </c>
      <c r="D197" s="2" t="n">
        <v>2011</v>
      </c>
      <c r="E197" s="2" t="s">
        <v>34</v>
      </c>
      <c r="F197" s="4" t="n">
        <v>204052.478</v>
      </c>
      <c r="G197" s="4" t="n">
        <v>203560</v>
      </c>
      <c r="H197" s="4" t="n">
        <v>457.728</v>
      </c>
      <c r="I197" s="4" t="n">
        <v>73716.47</v>
      </c>
      <c r="J197" s="4" t="n">
        <v>129920</v>
      </c>
      <c r="K197" s="4" t="n">
        <v>416.008</v>
      </c>
      <c r="L197" s="2" t="s">
        <v>30</v>
      </c>
      <c r="M197" s="2" t="s">
        <v>30</v>
      </c>
    </row>
    <row r="198" customFormat="false" ht="15" hidden="false" customHeight="false" outlineLevel="0" collapsed="false">
      <c r="A198" s="2" t="n">
        <v>1005766</v>
      </c>
      <c r="B198" s="2" t="s">
        <v>64</v>
      </c>
      <c r="C198" s="2" t="s">
        <v>65</v>
      </c>
      <c r="D198" s="2" t="n">
        <v>2012</v>
      </c>
      <c r="E198" s="2" t="s">
        <v>34</v>
      </c>
      <c r="F198" s="4" t="n">
        <v>180886.494</v>
      </c>
      <c r="G198" s="4" t="n">
        <v>180742.6</v>
      </c>
      <c r="H198" s="4" t="n">
        <v>112.644</v>
      </c>
      <c r="I198" s="4" t="n">
        <v>66215.7</v>
      </c>
      <c r="J198" s="4" t="n">
        <v>114595.4</v>
      </c>
      <c r="K198" s="4" t="n">
        <v>75.394</v>
      </c>
      <c r="L198" s="2" t="s">
        <v>30</v>
      </c>
      <c r="M198" s="2" t="s">
        <v>30</v>
      </c>
    </row>
    <row r="199" customFormat="false" ht="15" hidden="false" customHeight="false" outlineLevel="0" collapsed="false">
      <c r="A199" s="2" t="n">
        <v>1005766</v>
      </c>
      <c r="B199" s="2" t="s">
        <v>64</v>
      </c>
      <c r="C199" s="2" t="s">
        <v>65</v>
      </c>
      <c r="D199" s="2" t="n">
        <v>2013</v>
      </c>
      <c r="E199" s="2" t="s">
        <v>34</v>
      </c>
      <c r="F199" s="4" t="n">
        <v>207838.322</v>
      </c>
      <c r="G199" s="4" t="n">
        <v>207596</v>
      </c>
      <c r="H199" s="4" t="n">
        <v>205.322</v>
      </c>
      <c r="I199" s="4" t="n">
        <v>78321.7</v>
      </c>
      <c r="J199" s="4" t="n">
        <v>129356</v>
      </c>
      <c r="K199" s="4" t="n">
        <v>160.622</v>
      </c>
      <c r="L199" s="2" t="s">
        <v>30</v>
      </c>
      <c r="M199" s="2" t="s">
        <v>30</v>
      </c>
    </row>
    <row r="200" customFormat="false" ht="15" hidden="false" customHeight="false" outlineLevel="0" collapsed="false">
      <c r="A200" s="2" t="n">
        <v>1005766</v>
      </c>
      <c r="B200" s="2" t="s">
        <v>64</v>
      </c>
      <c r="C200" s="2" t="s">
        <v>65</v>
      </c>
      <c r="D200" s="2" t="n">
        <v>2014</v>
      </c>
      <c r="E200" s="2" t="s">
        <v>34</v>
      </c>
      <c r="F200" s="4" t="n">
        <v>197193.472</v>
      </c>
      <c r="G200" s="4" t="n">
        <v>196896.8</v>
      </c>
      <c r="H200" s="4" t="n">
        <v>264.922</v>
      </c>
      <c r="I200" s="4" t="n">
        <v>67330.796</v>
      </c>
      <c r="J200" s="4" t="n">
        <v>129635.6</v>
      </c>
      <c r="K200" s="4" t="n">
        <v>227.076</v>
      </c>
      <c r="L200" s="2" t="s">
        <v>30</v>
      </c>
      <c r="M200" s="2" t="s">
        <v>30</v>
      </c>
    </row>
    <row r="201" customFormat="false" ht="15" hidden="false" customHeight="false" outlineLevel="0" collapsed="false">
      <c r="A201" s="2" t="n">
        <v>1005766</v>
      </c>
      <c r="B201" s="2" t="s">
        <v>64</v>
      </c>
      <c r="C201" s="2" t="s">
        <v>65</v>
      </c>
      <c r="D201" s="2" t="n">
        <v>2015</v>
      </c>
      <c r="E201" s="2" t="s">
        <v>34</v>
      </c>
      <c r="F201" s="4" t="n">
        <v>169106.186</v>
      </c>
      <c r="G201" s="4" t="n">
        <v>168831.5</v>
      </c>
      <c r="H201" s="4" t="n">
        <v>247.936</v>
      </c>
      <c r="I201" s="4" t="n">
        <v>56670.736</v>
      </c>
      <c r="J201" s="4" t="n">
        <v>112219.4</v>
      </c>
      <c r="K201" s="4" t="n">
        <v>216.05</v>
      </c>
      <c r="L201" s="2" t="s">
        <v>30</v>
      </c>
      <c r="M201" s="2" t="s">
        <v>30</v>
      </c>
    </row>
    <row r="202" customFormat="false" ht="15" hidden="false" customHeight="false" outlineLevel="0" collapsed="false">
      <c r="A202" s="2" t="n">
        <v>1005766</v>
      </c>
      <c r="B202" s="2" t="s">
        <v>64</v>
      </c>
      <c r="C202" s="2" t="s">
        <v>65</v>
      </c>
      <c r="D202" s="2" t="n">
        <v>2016</v>
      </c>
      <c r="E202" s="2" t="s">
        <v>34</v>
      </c>
      <c r="F202" s="4" t="n">
        <v>188048.782</v>
      </c>
      <c r="G202" s="4" t="n">
        <v>187248.2</v>
      </c>
      <c r="H202" s="4" t="n">
        <v>762.582</v>
      </c>
      <c r="I202" s="4" t="n">
        <v>80534.996</v>
      </c>
      <c r="J202" s="4" t="n">
        <v>106796.5</v>
      </c>
      <c r="K202" s="4" t="n">
        <v>717.286</v>
      </c>
      <c r="L202" s="2" t="s">
        <v>30</v>
      </c>
      <c r="M202" s="2" t="s">
        <v>30</v>
      </c>
    </row>
    <row r="203" customFormat="false" ht="15" hidden="false" customHeight="false" outlineLevel="0" collapsed="false">
      <c r="A203" s="2" t="n">
        <v>1005766</v>
      </c>
      <c r="B203" s="2" t="s">
        <v>64</v>
      </c>
      <c r="C203" s="2" t="s">
        <v>65</v>
      </c>
      <c r="D203" s="2" t="n">
        <v>2017</v>
      </c>
      <c r="E203" s="2" t="s">
        <v>34</v>
      </c>
      <c r="F203" s="4" t="n">
        <v>193622.122</v>
      </c>
      <c r="G203" s="4" t="n">
        <v>192827.5</v>
      </c>
      <c r="H203" s="4" t="n">
        <v>756.622</v>
      </c>
      <c r="I203" s="4" t="n">
        <v>80627.296</v>
      </c>
      <c r="J203" s="4" t="n">
        <v>112283.5</v>
      </c>
      <c r="K203" s="4" t="n">
        <v>711.326</v>
      </c>
      <c r="L203" s="2" t="s">
        <v>30</v>
      </c>
      <c r="M203" s="2" t="s">
        <v>30</v>
      </c>
    </row>
    <row r="204" customFormat="false" ht="15" hidden="false" customHeight="false" outlineLevel="0" collapsed="false">
      <c r="A204" s="2" t="n">
        <v>1005766</v>
      </c>
      <c r="B204" s="2" t="s">
        <v>64</v>
      </c>
      <c r="C204" s="2" t="s">
        <v>65</v>
      </c>
      <c r="D204" s="2" t="n">
        <v>2018</v>
      </c>
      <c r="E204" s="2" t="s">
        <v>34</v>
      </c>
      <c r="F204" s="4" t="n">
        <v>168017.95</v>
      </c>
      <c r="G204" s="4" t="n">
        <v>167171.9</v>
      </c>
      <c r="H204" s="4" t="n">
        <v>812.05</v>
      </c>
      <c r="I204" s="4" t="n">
        <v>72274.728</v>
      </c>
      <c r="J204" s="4" t="n">
        <v>94971.7</v>
      </c>
      <c r="K204" s="4" t="n">
        <v>771.522</v>
      </c>
      <c r="L204" s="2" t="s">
        <v>30</v>
      </c>
      <c r="M204" s="2" t="s">
        <v>30</v>
      </c>
    </row>
    <row r="205" customFormat="false" ht="15" hidden="false" customHeight="false" outlineLevel="0" collapsed="false">
      <c r="A205" s="2" t="n">
        <v>1005766</v>
      </c>
      <c r="B205" s="2" t="s">
        <v>64</v>
      </c>
      <c r="C205" s="2" t="s">
        <v>65</v>
      </c>
      <c r="D205" s="2" t="n">
        <v>2019</v>
      </c>
      <c r="E205" s="2" t="s">
        <v>34</v>
      </c>
      <c r="F205" s="4" t="n">
        <v>179324.796</v>
      </c>
      <c r="G205" s="4" t="n">
        <v>176043</v>
      </c>
      <c r="H205" s="4" t="n">
        <v>3248.796</v>
      </c>
      <c r="I205" s="4" t="n">
        <v>70033.636</v>
      </c>
      <c r="J205" s="4" t="n">
        <v>106081.7</v>
      </c>
      <c r="K205" s="4" t="n">
        <v>3209.46</v>
      </c>
      <c r="L205" s="2" t="s">
        <v>30</v>
      </c>
      <c r="M205" s="2" t="s">
        <v>30</v>
      </c>
    </row>
    <row r="206" customFormat="false" ht="15" hidden="false" customHeight="false" outlineLevel="0" collapsed="false">
      <c r="A206" s="2" t="n">
        <v>1005766</v>
      </c>
      <c r="B206" s="2" t="s">
        <v>64</v>
      </c>
      <c r="C206" s="2" t="s">
        <v>65</v>
      </c>
      <c r="D206" s="2" t="n">
        <v>2020</v>
      </c>
      <c r="E206" s="2" t="s">
        <v>34</v>
      </c>
      <c r="F206" s="4" t="n">
        <v>167914.652</v>
      </c>
      <c r="G206" s="4" t="n">
        <v>165966.8</v>
      </c>
      <c r="H206" s="4" t="n">
        <v>1914.352</v>
      </c>
      <c r="I206" s="4" t="n">
        <v>71221.532</v>
      </c>
      <c r="J206" s="4" t="n">
        <v>94818.7</v>
      </c>
      <c r="K206" s="4" t="n">
        <v>1874.42</v>
      </c>
      <c r="L206" s="2" t="s">
        <v>30</v>
      </c>
      <c r="M206" s="2" t="s">
        <v>30</v>
      </c>
    </row>
    <row r="207" customFormat="false" ht="15" hidden="false" customHeight="false" outlineLevel="0" collapsed="false">
      <c r="A207" s="2" t="n">
        <v>1005766</v>
      </c>
      <c r="B207" s="2" t="s">
        <v>64</v>
      </c>
      <c r="C207" s="2" t="s">
        <v>65</v>
      </c>
      <c r="D207" s="2" t="n">
        <v>2021</v>
      </c>
      <c r="E207" s="2" t="s">
        <v>34</v>
      </c>
      <c r="F207" s="4" t="n">
        <v>200644.832</v>
      </c>
      <c r="G207" s="4" t="n">
        <v>185477.7</v>
      </c>
      <c r="H207" s="4" t="n">
        <v>15133.632</v>
      </c>
      <c r="I207" s="4" t="n">
        <v>71084.832</v>
      </c>
      <c r="J207" s="4" t="n">
        <v>114466.3</v>
      </c>
      <c r="K207" s="4" t="n">
        <v>15093.7</v>
      </c>
      <c r="L207" s="2" t="s">
        <v>30</v>
      </c>
      <c r="M207" s="2" t="s">
        <v>30</v>
      </c>
    </row>
    <row r="208" customFormat="false" ht="15" hidden="false" customHeight="false" outlineLevel="0" collapsed="false">
      <c r="A208" s="2" t="n">
        <v>1005766</v>
      </c>
      <c r="B208" s="2" t="s">
        <v>64</v>
      </c>
      <c r="C208" s="2" t="s">
        <v>65</v>
      </c>
      <c r="D208" s="2" t="n">
        <v>2022</v>
      </c>
      <c r="E208" s="2" t="s">
        <v>34</v>
      </c>
      <c r="F208" s="4" t="n">
        <v>196785.206</v>
      </c>
      <c r="G208" s="4" t="n">
        <v>176347.8</v>
      </c>
      <c r="H208" s="4" t="n">
        <v>20404.656</v>
      </c>
      <c r="I208" s="4" t="n">
        <v>69516.788</v>
      </c>
      <c r="J208" s="4" t="n">
        <v>106902.8</v>
      </c>
      <c r="K208" s="4" t="n">
        <v>20365.618</v>
      </c>
      <c r="L208" s="2" t="s">
        <v>30</v>
      </c>
      <c r="M208" s="2" t="s">
        <v>30</v>
      </c>
    </row>
    <row r="209" customFormat="false" ht="15" hidden="false" customHeight="false" outlineLevel="0" collapsed="false">
      <c r="A209" s="2" t="n">
        <v>1005766</v>
      </c>
      <c r="B209" s="2" t="s">
        <v>64</v>
      </c>
      <c r="C209" s="2" t="s">
        <v>65</v>
      </c>
      <c r="D209" s="2" t="n">
        <v>2023</v>
      </c>
      <c r="E209" s="2" t="s">
        <v>34</v>
      </c>
      <c r="F209" s="4" t="n">
        <v>190239.436</v>
      </c>
      <c r="G209" s="4" t="n">
        <v>172340</v>
      </c>
      <c r="H209" s="4" t="n">
        <v>17867.186</v>
      </c>
      <c r="I209" s="4" t="n">
        <v>68544.992</v>
      </c>
      <c r="J209" s="4" t="n">
        <v>103865.7</v>
      </c>
      <c r="K209" s="4" t="n">
        <v>17828.744</v>
      </c>
      <c r="L209" s="2" t="s">
        <v>30</v>
      </c>
      <c r="M209" s="2" t="s">
        <v>30</v>
      </c>
    </row>
    <row r="210" customFormat="false" ht="15" hidden="false" customHeight="false" outlineLevel="0" collapsed="false">
      <c r="A210" s="2" t="n">
        <v>1005788</v>
      </c>
      <c r="B210" s="2" t="s">
        <v>66</v>
      </c>
      <c r="C210" s="2" t="s">
        <v>38</v>
      </c>
      <c r="D210" s="2" t="n">
        <v>2010</v>
      </c>
      <c r="E210" s="2" t="s">
        <v>34</v>
      </c>
      <c r="F210" s="4" t="n">
        <v>1099480.98</v>
      </c>
      <c r="G210" s="4" t="n">
        <v>1017737.9</v>
      </c>
      <c r="H210" s="4" t="n">
        <v>81565.58</v>
      </c>
      <c r="I210" s="4" t="n">
        <v>376654.08</v>
      </c>
      <c r="J210" s="4" t="n">
        <v>641472.9</v>
      </c>
      <c r="K210" s="4" t="n">
        <v>81354</v>
      </c>
      <c r="L210" s="2" t="s">
        <v>30</v>
      </c>
      <c r="M210" s="2" t="s">
        <v>30</v>
      </c>
    </row>
    <row r="211" customFormat="false" ht="15" hidden="false" customHeight="false" outlineLevel="0" collapsed="false">
      <c r="A211" s="2" t="n">
        <v>1005788</v>
      </c>
      <c r="B211" s="2" t="s">
        <v>66</v>
      </c>
      <c r="C211" s="2" t="s">
        <v>38</v>
      </c>
      <c r="D211" s="2" t="n">
        <v>2011</v>
      </c>
      <c r="E211" s="2" t="s">
        <v>34</v>
      </c>
      <c r="F211" s="4" t="n">
        <v>1388782.212</v>
      </c>
      <c r="G211" s="4" t="n">
        <v>1008112.8</v>
      </c>
      <c r="H211" s="4" t="n">
        <v>380477.162</v>
      </c>
      <c r="I211" s="4" t="n">
        <v>408299.412</v>
      </c>
      <c r="J211" s="4" t="n">
        <v>600234.8</v>
      </c>
      <c r="K211" s="4" t="n">
        <v>380248</v>
      </c>
      <c r="L211" s="2" t="s">
        <v>30</v>
      </c>
      <c r="M211" s="2" t="s">
        <v>30</v>
      </c>
    </row>
    <row r="212" customFormat="false" ht="15" hidden="false" customHeight="false" outlineLevel="0" collapsed="false">
      <c r="A212" s="2" t="n">
        <v>1005788</v>
      </c>
      <c r="B212" s="2" t="s">
        <v>66</v>
      </c>
      <c r="C212" s="2" t="s">
        <v>38</v>
      </c>
      <c r="D212" s="2" t="n">
        <v>2012</v>
      </c>
      <c r="E212" s="2" t="s">
        <v>34</v>
      </c>
      <c r="F212" s="4" t="n">
        <v>1381413.052</v>
      </c>
      <c r="G212" s="4" t="n">
        <v>935222</v>
      </c>
      <c r="H212" s="4" t="n">
        <v>446016.302</v>
      </c>
      <c r="I212" s="4" t="n">
        <v>370962.052</v>
      </c>
      <c r="J212" s="4" t="n">
        <v>564643</v>
      </c>
      <c r="K212" s="4" t="n">
        <v>445808</v>
      </c>
      <c r="L212" s="2" t="s">
        <v>30</v>
      </c>
      <c r="M212" s="2" t="s">
        <v>30</v>
      </c>
    </row>
    <row r="213" customFormat="false" ht="15" hidden="false" customHeight="false" outlineLevel="0" collapsed="false">
      <c r="A213" s="2" t="n">
        <v>1005788</v>
      </c>
      <c r="B213" s="2" t="s">
        <v>66</v>
      </c>
      <c r="C213" s="2" t="s">
        <v>38</v>
      </c>
      <c r="D213" s="2" t="n">
        <v>2013</v>
      </c>
      <c r="E213" s="2" t="s">
        <v>34</v>
      </c>
      <c r="F213" s="4" t="n">
        <v>1351235.492</v>
      </c>
      <c r="G213" s="4" t="n">
        <v>946152</v>
      </c>
      <c r="H213" s="4" t="n">
        <v>404901.242</v>
      </c>
      <c r="I213" s="4" t="n">
        <v>386950.492</v>
      </c>
      <c r="J213" s="4" t="n">
        <v>559601</v>
      </c>
      <c r="K213" s="4" t="n">
        <v>404684</v>
      </c>
      <c r="L213" s="2" t="s">
        <v>30</v>
      </c>
      <c r="M213" s="2" t="s">
        <v>30</v>
      </c>
    </row>
    <row r="214" customFormat="false" ht="15" hidden="false" customHeight="false" outlineLevel="0" collapsed="false">
      <c r="A214" s="2" t="n">
        <v>1005788</v>
      </c>
      <c r="B214" s="2" t="s">
        <v>66</v>
      </c>
      <c r="C214" s="2" t="s">
        <v>38</v>
      </c>
      <c r="D214" s="2" t="n">
        <v>2014</v>
      </c>
      <c r="E214" s="2" t="s">
        <v>34</v>
      </c>
      <c r="F214" s="4" t="n">
        <v>942426.496</v>
      </c>
      <c r="G214" s="4" t="n">
        <v>722407.6</v>
      </c>
      <c r="H214" s="4" t="n">
        <v>219879.896</v>
      </c>
      <c r="I214" s="4" t="n">
        <v>295089.888</v>
      </c>
      <c r="J214" s="4" t="n">
        <v>427622.4</v>
      </c>
      <c r="K214" s="4" t="n">
        <v>219714.208</v>
      </c>
      <c r="L214" s="2" t="s">
        <v>30</v>
      </c>
      <c r="M214" s="2" t="s">
        <v>30</v>
      </c>
    </row>
    <row r="215" customFormat="false" ht="15" hidden="false" customHeight="false" outlineLevel="0" collapsed="false">
      <c r="A215" s="2" t="n">
        <v>1005788</v>
      </c>
      <c r="B215" s="2" t="s">
        <v>66</v>
      </c>
      <c r="C215" s="2" t="s">
        <v>38</v>
      </c>
      <c r="D215" s="2" t="n">
        <v>2015</v>
      </c>
      <c r="E215" s="2" t="s">
        <v>34</v>
      </c>
      <c r="F215" s="4" t="n">
        <v>1020813.36</v>
      </c>
      <c r="G215" s="4" t="n">
        <v>733858.5</v>
      </c>
      <c r="H215" s="4" t="n">
        <v>286808.61</v>
      </c>
      <c r="I215" s="4" t="n">
        <v>310949.28</v>
      </c>
      <c r="J215" s="4" t="n">
        <v>423229.8</v>
      </c>
      <c r="K215" s="4" t="n">
        <v>286634.28</v>
      </c>
      <c r="L215" s="2" t="s">
        <v>30</v>
      </c>
      <c r="M215" s="2" t="s">
        <v>30</v>
      </c>
    </row>
    <row r="216" customFormat="false" ht="15" hidden="false" customHeight="false" outlineLevel="0" collapsed="false">
      <c r="A216" s="2" t="n">
        <v>1005788</v>
      </c>
      <c r="B216" s="2" t="s">
        <v>67</v>
      </c>
      <c r="C216" s="2" t="s">
        <v>38</v>
      </c>
      <c r="D216" s="2" t="n">
        <v>2016</v>
      </c>
      <c r="E216" s="2" t="s">
        <v>34</v>
      </c>
      <c r="F216" s="4" t="n">
        <v>1250324.636</v>
      </c>
      <c r="G216" s="4" t="n">
        <v>937859.6</v>
      </c>
      <c r="H216" s="4" t="n">
        <v>312276.286</v>
      </c>
      <c r="I216" s="4" t="n">
        <v>401270.24</v>
      </c>
      <c r="J216" s="4" t="n">
        <v>537003.1</v>
      </c>
      <c r="K216" s="4" t="n">
        <v>312051.296</v>
      </c>
      <c r="L216" s="2" t="s">
        <v>30</v>
      </c>
      <c r="M216" s="2" t="s">
        <v>30</v>
      </c>
    </row>
    <row r="217" customFormat="false" ht="15" hidden="false" customHeight="false" outlineLevel="0" collapsed="false">
      <c r="A217" s="2" t="n">
        <v>1005788</v>
      </c>
      <c r="B217" s="2" t="s">
        <v>67</v>
      </c>
      <c r="C217" s="2" t="s">
        <v>38</v>
      </c>
      <c r="D217" s="2" t="n">
        <v>2017</v>
      </c>
      <c r="E217" s="2" t="s">
        <v>34</v>
      </c>
      <c r="F217" s="4" t="n">
        <v>1193834.406</v>
      </c>
      <c r="G217" s="4" t="n">
        <v>851815.3</v>
      </c>
      <c r="H217" s="4" t="n">
        <v>341842.356</v>
      </c>
      <c r="I217" s="4" t="n">
        <v>375526.336</v>
      </c>
      <c r="J217" s="4" t="n">
        <v>476676.4</v>
      </c>
      <c r="K217" s="4" t="n">
        <v>341631.67</v>
      </c>
      <c r="L217" s="2" t="s">
        <v>30</v>
      </c>
      <c r="M217" s="2" t="s">
        <v>30</v>
      </c>
    </row>
    <row r="218" customFormat="false" ht="15" hidden="false" customHeight="false" outlineLevel="0" collapsed="false">
      <c r="A218" s="2" t="n">
        <v>1005788</v>
      </c>
      <c r="B218" s="2" t="s">
        <v>67</v>
      </c>
      <c r="C218" s="2" t="s">
        <v>38</v>
      </c>
      <c r="D218" s="2" t="n">
        <v>2018</v>
      </c>
      <c r="E218" s="2" t="s">
        <v>34</v>
      </c>
      <c r="F218" s="4" t="n">
        <v>1324696.664</v>
      </c>
      <c r="G218" s="4" t="n">
        <v>962016.5</v>
      </c>
      <c r="H218" s="4" t="n">
        <v>362477.664</v>
      </c>
      <c r="I218" s="4" t="n">
        <v>430177.48</v>
      </c>
      <c r="J218" s="4" t="n">
        <v>532282.9</v>
      </c>
      <c r="K218" s="4" t="n">
        <v>362236.284</v>
      </c>
      <c r="L218" s="2" t="s">
        <v>30</v>
      </c>
      <c r="M218" s="2" t="s">
        <v>30</v>
      </c>
    </row>
    <row r="219" customFormat="false" ht="15" hidden="false" customHeight="false" outlineLevel="0" collapsed="false">
      <c r="A219" s="2" t="n">
        <v>1005788</v>
      </c>
      <c r="B219" s="2" t="s">
        <v>67</v>
      </c>
      <c r="C219" s="2" t="s">
        <v>38</v>
      </c>
      <c r="D219" s="2" t="n">
        <v>2019</v>
      </c>
      <c r="E219" s="2" t="s">
        <v>34</v>
      </c>
      <c r="F219" s="4" t="n">
        <v>1098808.164</v>
      </c>
      <c r="G219" s="4" t="n">
        <v>858278.1</v>
      </c>
      <c r="H219" s="4" t="n">
        <v>240349.814</v>
      </c>
      <c r="I219" s="4" t="n">
        <v>382872.708</v>
      </c>
      <c r="J219" s="4" t="n">
        <v>475800.5</v>
      </c>
      <c r="K219" s="4" t="n">
        <v>240134.956</v>
      </c>
      <c r="L219" s="2" t="s">
        <v>30</v>
      </c>
      <c r="M219" s="2" t="s">
        <v>30</v>
      </c>
    </row>
    <row r="220" customFormat="false" ht="15" hidden="false" customHeight="false" outlineLevel="0" collapsed="false">
      <c r="A220" s="2" t="n">
        <v>1005788</v>
      </c>
      <c r="B220" s="2" t="s">
        <v>67</v>
      </c>
      <c r="C220" s="2" t="s">
        <v>38</v>
      </c>
      <c r="D220" s="2" t="n">
        <v>2020</v>
      </c>
      <c r="E220" s="2" t="s">
        <v>34</v>
      </c>
      <c r="F220" s="4" t="n">
        <v>1277183.674</v>
      </c>
      <c r="G220" s="4" t="n">
        <v>1007327.8</v>
      </c>
      <c r="H220" s="4" t="n">
        <v>269656.624</v>
      </c>
      <c r="I220" s="4" t="n">
        <v>423348.856</v>
      </c>
      <c r="J220" s="4" t="n">
        <v>584415.7</v>
      </c>
      <c r="K220" s="4" t="n">
        <v>269419.118</v>
      </c>
      <c r="L220" s="2" t="s">
        <v>30</v>
      </c>
      <c r="M220" s="2" t="s">
        <v>30</v>
      </c>
    </row>
    <row r="221" customFormat="false" ht="15" hidden="false" customHeight="false" outlineLevel="0" collapsed="false">
      <c r="A221" s="2" t="n">
        <v>1005788</v>
      </c>
      <c r="B221" s="2" t="s">
        <v>67</v>
      </c>
      <c r="C221" s="2" t="s">
        <v>38</v>
      </c>
      <c r="D221" s="2" t="n">
        <v>2021</v>
      </c>
      <c r="E221" s="2" t="s">
        <v>34</v>
      </c>
      <c r="F221" s="4" t="n">
        <v>1246631.364</v>
      </c>
      <c r="G221" s="4" t="n">
        <v>891795</v>
      </c>
      <c r="H221" s="4" t="n">
        <v>354662.614</v>
      </c>
      <c r="I221" s="4" t="n">
        <v>369359.46</v>
      </c>
      <c r="J221" s="4" t="n">
        <v>522816.4</v>
      </c>
      <c r="K221" s="4" t="n">
        <v>354455.504</v>
      </c>
      <c r="L221" s="2" t="s">
        <v>30</v>
      </c>
      <c r="M221" s="2" t="s">
        <v>30</v>
      </c>
    </row>
    <row r="222" customFormat="false" ht="15" hidden="false" customHeight="false" outlineLevel="0" collapsed="false">
      <c r="A222" s="2" t="n">
        <v>1005788</v>
      </c>
      <c r="B222" s="2" t="s">
        <v>67</v>
      </c>
      <c r="C222" s="2" t="s">
        <v>38</v>
      </c>
      <c r="D222" s="2" t="n">
        <v>2022</v>
      </c>
      <c r="E222" s="2" t="s">
        <v>34</v>
      </c>
      <c r="F222" s="4" t="n">
        <v>1303743.318</v>
      </c>
      <c r="G222" s="4" t="n">
        <v>942378.3</v>
      </c>
      <c r="H222" s="4" t="n">
        <v>361180.768</v>
      </c>
      <c r="I222" s="4" t="n">
        <v>391425.376</v>
      </c>
      <c r="J222" s="4" t="n">
        <v>551356.8</v>
      </c>
      <c r="K222" s="4" t="n">
        <v>360961.142</v>
      </c>
      <c r="L222" s="2" t="s">
        <v>30</v>
      </c>
      <c r="M222" s="2" t="s">
        <v>30</v>
      </c>
    </row>
    <row r="223" customFormat="false" ht="15" hidden="false" customHeight="false" outlineLevel="0" collapsed="false">
      <c r="A223" s="2" t="n">
        <v>1005788</v>
      </c>
      <c r="B223" s="2" t="s">
        <v>67</v>
      </c>
      <c r="C223" s="2" t="s">
        <v>38</v>
      </c>
      <c r="D223" s="2" t="n">
        <v>2023</v>
      </c>
      <c r="E223" s="2" t="s">
        <v>34</v>
      </c>
      <c r="F223" s="4" t="n">
        <v>1190499.648</v>
      </c>
      <c r="G223" s="4" t="n">
        <v>861840.5</v>
      </c>
      <c r="H223" s="4" t="n">
        <v>328493.148</v>
      </c>
      <c r="I223" s="4" t="n">
        <v>352682.772</v>
      </c>
      <c r="J223" s="4" t="n">
        <v>509521.6</v>
      </c>
      <c r="K223" s="4" t="n">
        <v>328295.276</v>
      </c>
      <c r="L223" s="2" t="s">
        <v>30</v>
      </c>
      <c r="M223" s="2" t="s">
        <v>30</v>
      </c>
    </row>
    <row r="224" customFormat="false" ht="15" hidden="false" customHeight="false" outlineLevel="0" collapsed="false">
      <c r="A224" s="2" t="n">
        <v>1005867</v>
      </c>
      <c r="B224" s="2" t="s">
        <v>68</v>
      </c>
      <c r="C224" s="2" t="s">
        <v>38</v>
      </c>
      <c r="D224" s="2" t="n">
        <v>2010</v>
      </c>
      <c r="E224" s="2" t="s">
        <v>34</v>
      </c>
      <c r="F224" s="4" t="n">
        <v>163329.908</v>
      </c>
      <c r="G224" s="4" t="n">
        <v>161951.2</v>
      </c>
      <c r="H224" s="4" t="n">
        <v>1354.708</v>
      </c>
      <c r="I224" s="4" t="n">
        <v>51063.508</v>
      </c>
      <c r="J224" s="4" t="n">
        <v>110940.3</v>
      </c>
      <c r="K224" s="4" t="n">
        <v>1326.1</v>
      </c>
      <c r="L224" s="2" t="s">
        <v>30</v>
      </c>
      <c r="M224" s="2" t="s">
        <v>30</v>
      </c>
    </row>
    <row r="225" customFormat="false" ht="15" hidden="false" customHeight="false" outlineLevel="0" collapsed="false">
      <c r="A225" s="2" t="n">
        <v>1005867</v>
      </c>
      <c r="B225" s="2" t="s">
        <v>68</v>
      </c>
      <c r="C225" s="2" t="s">
        <v>38</v>
      </c>
      <c r="D225" s="2" t="n">
        <v>2011</v>
      </c>
      <c r="E225" s="2" t="s">
        <v>34</v>
      </c>
      <c r="F225" s="4" t="n">
        <v>317761.46</v>
      </c>
      <c r="G225" s="4" t="n">
        <v>308558.4</v>
      </c>
      <c r="H225" s="4" t="n">
        <v>9154.56</v>
      </c>
      <c r="I225" s="4" t="n">
        <v>103276.82</v>
      </c>
      <c r="J225" s="4" t="n">
        <v>205386.7</v>
      </c>
      <c r="K225" s="4" t="n">
        <v>9097.94</v>
      </c>
      <c r="L225" s="2" t="s">
        <v>30</v>
      </c>
      <c r="M225" s="2" t="s">
        <v>30</v>
      </c>
    </row>
    <row r="226" customFormat="false" ht="15" hidden="false" customHeight="false" outlineLevel="0" collapsed="false">
      <c r="A226" s="2" t="n">
        <v>1005867</v>
      </c>
      <c r="B226" s="2" t="s">
        <v>68</v>
      </c>
      <c r="C226" s="2" t="s">
        <v>38</v>
      </c>
      <c r="D226" s="2" t="n">
        <v>2012</v>
      </c>
      <c r="E226" s="2" t="s">
        <v>34</v>
      </c>
      <c r="F226" s="4" t="n">
        <v>269185.36</v>
      </c>
      <c r="G226" s="4" t="n">
        <v>259143</v>
      </c>
      <c r="H226" s="4" t="n">
        <v>10003.86</v>
      </c>
      <c r="I226" s="4" t="n">
        <v>81990.2</v>
      </c>
      <c r="J226" s="4" t="n">
        <v>177236</v>
      </c>
      <c r="K226" s="4" t="n">
        <v>9959.16</v>
      </c>
      <c r="L226" s="2" t="s">
        <v>30</v>
      </c>
      <c r="M226" s="2" t="s">
        <v>30</v>
      </c>
    </row>
    <row r="227" customFormat="false" ht="15" hidden="false" customHeight="false" outlineLevel="0" collapsed="false">
      <c r="A227" s="2" t="n">
        <v>1005867</v>
      </c>
      <c r="B227" s="2" t="s">
        <v>68</v>
      </c>
      <c r="C227" s="2" t="s">
        <v>38</v>
      </c>
      <c r="D227" s="2" t="n">
        <v>2013</v>
      </c>
      <c r="E227" s="2" t="s">
        <v>34</v>
      </c>
      <c r="F227" s="4" t="n">
        <v>193318.7</v>
      </c>
      <c r="G227" s="4" t="n">
        <v>189859.2</v>
      </c>
      <c r="H227" s="4" t="n">
        <v>3427</v>
      </c>
      <c r="I227" s="4" t="n">
        <v>68897.64</v>
      </c>
      <c r="J227" s="4" t="n">
        <v>121032.8</v>
      </c>
      <c r="K227" s="4" t="n">
        <v>3388.26</v>
      </c>
      <c r="L227" s="2" t="s">
        <v>30</v>
      </c>
      <c r="M227" s="2" t="s">
        <v>30</v>
      </c>
    </row>
    <row r="228" customFormat="false" ht="15" hidden="false" customHeight="false" outlineLevel="0" collapsed="false">
      <c r="A228" s="2" t="n">
        <v>1005867</v>
      </c>
      <c r="B228" s="2" t="s">
        <v>68</v>
      </c>
      <c r="C228" s="2" t="s">
        <v>38</v>
      </c>
      <c r="D228" s="2" t="n">
        <v>2014</v>
      </c>
      <c r="E228" s="2" t="s">
        <v>34</v>
      </c>
      <c r="F228" s="4" t="n">
        <v>293730.514</v>
      </c>
      <c r="G228" s="4" t="n">
        <v>287516.3</v>
      </c>
      <c r="H228" s="4" t="n">
        <v>6173.964</v>
      </c>
      <c r="I228" s="4" t="n">
        <v>85386.928</v>
      </c>
      <c r="J228" s="4" t="n">
        <v>202217.6</v>
      </c>
      <c r="K228" s="4" t="n">
        <v>6125.986</v>
      </c>
      <c r="L228" s="2" t="s">
        <v>30</v>
      </c>
      <c r="M228" s="2" t="s">
        <v>30</v>
      </c>
    </row>
    <row r="229" customFormat="false" ht="15" hidden="false" customHeight="false" outlineLevel="0" collapsed="false">
      <c r="A229" s="2" t="n">
        <v>1005867</v>
      </c>
      <c r="B229" s="2" t="s">
        <v>68</v>
      </c>
      <c r="C229" s="2" t="s">
        <v>38</v>
      </c>
      <c r="D229" s="2" t="n">
        <v>2015</v>
      </c>
      <c r="E229" s="2" t="s">
        <v>34</v>
      </c>
      <c r="F229" s="4" t="n">
        <v>281294.018</v>
      </c>
      <c r="G229" s="4" t="n">
        <v>273882.2</v>
      </c>
      <c r="H229" s="4" t="n">
        <v>7372.818</v>
      </c>
      <c r="I229" s="4" t="n">
        <v>82832.488</v>
      </c>
      <c r="J229" s="4" t="n">
        <v>191135.2</v>
      </c>
      <c r="K229" s="4" t="n">
        <v>7326.33</v>
      </c>
      <c r="L229" s="2" t="s">
        <v>30</v>
      </c>
      <c r="M229" s="2" t="s">
        <v>30</v>
      </c>
    </row>
    <row r="230" customFormat="false" ht="15" hidden="false" customHeight="false" outlineLevel="0" collapsed="false">
      <c r="A230" s="2" t="n">
        <v>1005867</v>
      </c>
      <c r="B230" s="2" t="s">
        <v>68</v>
      </c>
      <c r="C230" s="2" t="s">
        <v>38</v>
      </c>
      <c r="D230" s="2" t="n">
        <v>2016</v>
      </c>
      <c r="E230" s="2" t="s">
        <v>34</v>
      </c>
      <c r="F230" s="4" t="n">
        <v>330769.71</v>
      </c>
      <c r="G230" s="4" t="n">
        <v>321256</v>
      </c>
      <c r="H230" s="4" t="n">
        <v>9467.46</v>
      </c>
      <c r="I230" s="4" t="n">
        <v>98491.58</v>
      </c>
      <c r="J230" s="4" t="n">
        <v>222865.8</v>
      </c>
      <c r="K230" s="4" t="n">
        <v>9412.33</v>
      </c>
      <c r="L230" s="2" t="s">
        <v>30</v>
      </c>
      <c r="M230" s="2" t="s">
        <v>30</v>
      </c>
    </row>
    <row r="231" customFormat="false" ht="15" hidden="false" customHeight="false" outlineLevel="0" collapsed="false">
      <c r="A231" s="2" t="n">
        <v>1005867</v>
      </c>
      <c r="B231" s="2" t="s">
        <v>68</v>
      </c>
      <c r="C231" s="2" t="s">
        <v>38</v>
      </c>
      <c r="D231" s="2" t="n">
        <v>2017</v>
      </c>
      <c r="E231" s="2" t="s">
        <v>34</v>
      </c>
      <c r="F231" s="4" t="n">
        <v>258400.008</v>
      </c>
      <c r="G231" s="4" t="n">
        <v>253717.4</v>
      </c>
      <c r="H231" s="4" t="n">
        <v>4647.608</v>
      </c>
      <c r="I231" s="4" t="n">
        <v>74449.02</v>
      </c>
      <c r="J231" s="4" t="n">
        <v>179345.1</v>
      </c>
      <c r="K231" s="4" t="n">
        <v>4605.888</v>
      </c>
      <c r="L231" s="2" t="s">
        <v>30</v>
      </c>
      <c r="M231" s="2" t="s">
        <v>30</v>
      </c>
    </row>
    <row r="232" customFormat="false" ht="15" hidden="false" customHeight="false" outlineLevel="0" collapsed="false">
      <c r="A232" s="2" t="n">
        <v>1005867</v>
      </c>
      <c r="B232" s="2" t="s">
        <v>69</v>
      </c>
      <c r="C232" s="2" t="s">
        <v>38</v>
      </c>
      <c r="D232" s="2" t="n">
        <v>2018</v>
      </c>
      <c r="E232" s="2" t="s">
        <v>34</v>
      </c>
      <c r="F232" s="4" t="n">
        <v>342236.22</v>
      </c>
      <c r="G232" s="4" t="n">
        <v>323513.3</v>
      </c>
      <c r="H232" s="4" t="n">
        <v>18674.17</v>
      </c>
      <c r="I232" s="4" t="n">
        <v>103605.26</v>
      </c>
      <c r="J232" s="4" t="n">
        <v>220014.9</v>
      </c>
      <c r="K232" s="4" t="n">
        <v>18616.06</v>
      </c>
      <c r="L232" s="2" t="s">
        <v>30</v>
      </c>
      <c r="M232" s="2" t="s">
        <v>30</v>
      </c>
    </row>
    <row r="233" customFormat="false" ht="15" hidden="false" customHeight="false" outlineLevel="0" collapsed="false">
      <c r="A233" s="2" t="n">
        <v>1005867</v>
      </c>
      <c r="B233" s="2" t="s">
        <v>69</v>
      </c>
      <c r="C233" s="2" t="s">
        <v>38</v>
      </c>
      <c r="D233" s="2" t="n">
        <v>2019</v>
      </c>
      <c r="E233" s="2" t="s">
        <v>34</v>
      </c>
      <c r="F233" s="4" t="n">
        <v>299259.06</v>
      </c>
      <c r="G233" s="4" t="n">
        <v>274410.8</v>
      </c>
      <c r="H233" s="4" t="n">
        <v>24807.01</v>
      </c>
      <c r="I233" s="4" t="n">
        <v>87381.32</v>
      </c>
      <c r="J233" s="4" t="n">
        <v>187119.9</v>
      </c>
      <c r="K233" s="4" t="n">
        <v>24757.84</v>
      </c>
      <c r="L233" s="2" t="s">
        <v>30</v>
      </c>
      <c r="M233" s="2" t="s">
        <v>30</v>
      </c>
    </row>
    <row r="234" customFormat="false" ht="15" hidden="false" customHeight="false" outlineLevel="0" collapsed="false">
      <c r="A234" s="2" t="n">
        <v>1005867</v>
      </c>
      <c r="B234" s="2" t="s">
        <v>69</v>
      </c>
      <c r="C234" s="2" t="s">
        <v>38</v>
      </c>
      <c r="D234" s="2" t="n">
        <v>2020</v>
      </c>
      <c r="E234" s="2" t="s">
        <v>34</v>
      </c>
      <c r="F234" s="4" t="n">
        <v>384391.312</v>
      </c>
      <c r="G234" s="4" t="n">
        <v>324257.9</v>
      </c>
      <c r="H234" s="4" t="n">
        <v>60089.912</v>
      </c>
      <c r="I234" s="4" t="n">
        <v>92181.552</v>
      </c>
      <c r="J234" s="4" t="n">
        <v>232171.7</v>
      </c>
      <c r="K234" s="4" t="n">
        <v>60038.06</v>
      </c>
      <c r="L234" s="2" t="s">
        <v>30</v>
      </c>
      <c r="M234" s="2" t="s">
        <v>30</v>
      </c>
    </row>
    <row r="235" customFormat="false" ht="15" hidden="false" customHeight="false" outlineLevel="0" collapsed="false">
      <c r="A235" s="2" t="n">
        <v>1005867</v>
      </c>
      <c r="B235" s="2" t="s">
        <v>69</v>
      </c>
      <c r="C235" s="2" t="s">
        <v>38</v>
      </c>
      <c r="D235" s="2" t="n">
        <v>2021</v>
      </c>
      <c r="E235" s="2" t="s">
        <v>34</v>
      </c>
      <c r="F235" s="4" t="n">
        <v>316836.396</v>
      </c>
      <c r="G235" s="4" t="n">
        <v>294836.4</v>
      </c>
      <c r="H235" s="4" t="n">
        <v>21955.746</v>
      </c>
      <c r="I235" s="4" t="n">
        <v>94018.896</v>
      </c>
      <c r="J235" s="4" t="n">
        <v>200914.5</v>
      </c>
      <c r="K235" s="4" t="n">
        <v>21903</v>
      </c>
      <c r="L235" s="2" t="s">
        <v>30</v>
      </c>
      <c r="M235" s="2" t="s">
        <v>30</v>
      </c>
    </row>
    <row r="236" customFormat="false" ht="15" hidden="false" customHeight="false" outlineLevel="0" collapsed="false">
      <c r="A236" s="2" t="n">
        <v>1005867</v>
      </c>
      <c r="B236" s="2" t="s">
        <v>69</v>
      </c>
      <c r="C236" s="2" t="s">
        <v>38</v>
      </c>
      <c r="D236" s="2" t="n">
        <v>2022</v>
      </c>
      <c r="E236" s="2" t="s">
        <v>34</v>
      </c>
      <c r="F236" s="4" t="n">
        <v>359727.848</v>
      </c>
      <c r="G236" s="4" t="n">
        <v>303015.1</v>
      </c>
      <c r="H236" s="4" t="n">
        <v>56664.998</v>
      </c>
      <c r="I236" s="4" t="n">
        <v>101470.768</v>
      </c>
      <c r="J236" s="4" t="n">
        <v>201649</v>
      </c>
      <c r="K236" s="4" t="n">
        <v>56608.08</v>
      </c>
      <c r="L236" s="2" t="s">
        <v>30</v>
      </c>
      <c r="M236" s="2" t="s">
        <v>30</v>
      </c>
    </row>
    <row r="237" customFormat="false" ht="15" hidden="false" customHeight="false" outlineLevel="0" collapsed="false">
      <c r="A237" s="2" t="n">
        <v>1005867</v>
      </c>
      <c r="B237" s="2" t="s">
        <v>69</v>
      </c>
      <c r="C237" s="2" t="s">
        <v>38</v>
      </c>
      <c r="D237" s="2" t="n">
        <v>2023</v>
      </c>
      <c r="E237" s="2" t="s">
        <v>34</v>
      </c>
      <c r="F237" s="4" t="n">
        <v>427703.444</v>
      </c>
      <c r="G237" s="4" t="n">
        <v>348756.3</v>
      </c>
      <c r="H237" s="4" t="n">
        <v>78896.394</v>
      </c>
      <c r="I237" s="4" t="n">
        <v>107941.444</v>
      </c>
      <c r="J237" s="4" t="n">
        <v>240926.1</v>
      </c>
      <c r="K237" s="4" t="n">
        <v>78835.9</v>
      </c>
      <c r="L237" s="2" t="s">
        <v>30</v>
      </c>
      <c r="M237" s="2" t="s">
        <v>30</v>
      </c>
    </row>
    <row r="238" customFormat="false" ht="15" hidden="false" customHeight="false" outlineLevel="0" collapsed="false">
      <c r="A238" s="2" t="n">
        <v>1005924</v>
      </c>
      <c r="B238" s="2" t="s">
        <v>70</v>
      </c>
      <c r="C238" s="2" t="s">
        <v>52</v>
      </c>
      <c r="D238" s="2" t="n">
        <v>2010</v>
      </c>
      <c r="E238" s="2" t="s">
        <v>34</v>
      </c>
      <c r="F238" s="4" t="n">
        <v>425376.362</v>
      </c>
      <c r="G238" s="4" t="n">
        <v>337372.3</v>
      </c>
      <c r="H238" s="4" t="n">
        <v>87930.562</v>
      </c>
      <c r="I238" s="4" t="n">
        <v>156263.12</v>
      </c>
      <c r="J238" s="4" t="n">
        <v>181269.1</v>
      </c>
      <c r="K238" s="4" t="n">
        <v>87844.142</v>
      </c>
      <c r="L238" s="2" t="s">
        <v>30</v>
      </c>
      <c r="M238" s="2" t="s">
        <v>30</v>
      </c>
    </row>
    <row r="239" customFormat="false" ht="15" hidden="false" customHeight="false" outlineLevel="0" collapsed="false">
      <c r="A239" s="2" t="n">
        <v>1005924</v>
      </c>
      <c r="B239" s="2" t="s">
        <v>70</v>
      </c>
      <c r="C239" s="2" t="s">
        <v>52</v>
      </c>
      <c r="D239" s="2" t="n">
        <v>2011</v>
      </c>
      <c r="E239" s="2" t="s">
        <v>34</v>
      </c>
      <c r="F239" s="4" t="n">
        <v>386484.42</v>
      </c>
      <c r="G239" s="4" t="n">
        <v>361113.2</v>
      </c>
      <c r="H239" s="4" t="n">
        <v>25297.22</v>
      </c>
      <c r="I239" s="4" t="n">
        <v>157340.5</v>
      </c>
      <c r="J239" s="4" t="n">
        <v>203936.1</v>
      </c>
      <c r="K239" s="4" t="n">
        <v>25207.82</v>
      </c>
      <c r="L239" s="2" t="s">
        <v>30</v>
      </c>
      <c r="M239" s="2" t="s">
        <v>30</v>
      </c>
    </row>
    <row r="240" customFormat="false" ht="15" hidden="false" customHeight="false" outlineLevel="0" collapsed="false">
      <c r="A240" s="2" t="n">
        <v>1005924</v>
      </c>
      <c r="B240" s="2" t="s">
        <v>70</v>
      </c>
      <c r="C240" s="2" t="s">
        <v>52</v>
      </c>
      <c r="D240" s="2" t="n">
        <v>2012</v>
      </c>
      <c r="E240" s="2" t="s">
        <v>34</v>
      </c>
      <c r="F240" s="4" t="n">
        <v>469893.406</v>
      </c>
      <c r="G240" s="4" t="n">
        <v>372293.1</v>
      </c>
      <c r="H240" s="4" t="n">
        <v>97527.056</v>
      </c>
      <c r="I240" s="4" t="n">
        <v>155495.17</v>
      </c>
      <c r="J240" s="4" t="n">
        <v>216957.6</v>
      </c>
      <c r="K240" s="4" t="n">
        <v>97440.636</v>
      </c>
      <c r="L240" s="2" t="s">
        <v>30</v>
      </c>
      <c r="M240" s="2" t="s">
        <v>30</v>
      </c>
    </row>
    <row r="241" customFormat="false" ht="15" hidden="false" customHeight="false" outlineLevel="0" collapsed="false">
      <c r="A241" s="2" t="n">
        <v>1005924</v>
      </c>
      <c r="B241" s="2" t="s">
        <v>70</v>
      </c>
      <c r="C241" s="2" t="s">
        <v>52</v>
      </c>
      <c r="D241" s="2" t="n">
        <v>2013</v>
      </c>
      <c r="E241" s="2" t="s">
        <v>34</v>
      </c>
      <c r="F241" s="4" t="n">
        <v>509911.65</v>
      </c>
      <c r="G241" s="4" t="n">
        <v>334488.8</v>
      </c>
      <c r="H241" s="4" t="n">
        <v>175358.1</v>
      </c>
      <c r="I241" s="4" t="n">
        <v>137708.63</v>
      </c>
      <c r="J241" s="4" t="n">
        <v>196922.4</v>
      </c>
      <c r="K241" s="4" t="n">
        <v>175280.62</v>
      </c>
      <c r="L241" s="2" t="s">
        <v>30</v>
      </c>
      <c r="M241" s="2" t="s">
        <v>30</v>
      </c>
    </row>
    <row r="242" customFormat="false" ht="15" hidden="false" customHeight="false" outlineLevel="0" collapsed="false">
      <c r="A242" s="2" t="n">
        <v>1005924</v>
      </c>
      <c r="B242" s="2" t="s">
        <v>70</v>
      </c>
      <c r="C242" s="2" t="s">
        <v>52</v>
      </c>
      <c r="D242" s="2" t="n">
        <v>2014</v>
      </c>
      <c r="E242" s="2" t="s">
        <v>34</v>
      </c>
      <c r="F242" s="4" t="n">
        <v>491489.574</v>
      </c>
      <c r="G242" s="4" t="n">
        <v>349938</v>
      </c>
      <c r="H242" s="4" t="n">
        <v>141486.824</v>
      </c>
      <c r="I242" s="4" t="n">
        <v>137486.332</v>
      </c>
      <c r="J242" s="4" t="n">
        <v>212593.6</v>
      </c>
      <c r="K242" s="4" t="n">
        <v>141409.642</v>
      </c>
      <c r="L242" s="2" t="s">
        <v>30</v>
      </c>
      <c r="M242" s="2" t="s">
        <v>30</v>
      </c>
    </row>
    <row r="243" customFormat="false" ht="15" hidden="false" customHeight="false" outlineLevel="0" collapsed="false">
      <c r="A243" s="2" t="n">
        <v>1005924</v>
      </c>
      <c r="B243" s="2" t="s">
        <v>70</v>
      </c>
      <c r="C243" s="2" t="s">
        <v>52</v>
      </c>
      <c r="D243" s="2" t="n">
        <v>2015</v>
      </c>
      <c r="E243" s="2" t="s">
        <v>34</v>
      </c>
      <c r="F243" s="4" t="n">
        <v>499921.486</v>
      </c>
      <c r="G243" s="4" t="n">
        <v>353307.7</v>
      </c>
      <c r="H243" s="4" t="n">
        <v>146551.036</v>
      </c>
      <c r="I243" s="4" t="n">
        <v>133150.948</v>
      </c>
      <c r="J243" s="4" t="n">
        <v>220294.3</v>
      </c>
      <c r="K243" s="4" t="n">
        <v>146476.238</v>
      </c>
      <c r="L243" s="2" t="s">
        <v>30</v>
      </c>
      <c r="M243" s="2" t="s">
        <v>30</v>
      </c>
    </row>
    <row r="244" customFormat="false" ht="15" hidden="false" customHeight="false" outlineLevel="0" collapsed="false">
      <c r="A244" s="2" t="n">
        <v>1005924</v>
      </c>
      <c r="B244" s="2" t="s">
        <v>70</v>
      </c>
      <c r="C244" s="2" t="s">
        <v>52</v>
      </c>
      <c r="D244" s="2" t="n">
        <v>2016</v>
      </c>
      <c r="E244" s="2" t="s">
        <v>34</v>
      </c>
      <c r="F244" s="4" t="n">
        <v>419844.416</v>
      </c>
      <c r="G244" s="4" t="n">
        <v>360222.3</v>
      </c>
      <c r="H244" s="4" t="n">
        <v>59560.366</v>
      </c>
      <c r="I244" s="4" t="n">
        <v>131255.756</v>
      </c>
      <c r="J244" s="4" t="n">
        <v>229101.9</v>
      </c>
      <c r="K244" s="4" t="n">
        <v>59486.76</v>
      </c>
      <c r="L244" s="2" t="s">
        <v>30</v>
      </c>
      <c r="M244" s="2" t="s">
        <v>30</v>
      </c>
    </row>
    <row r="245" customFormat="false" ht="15" hidden="false" customHeight="false" outlineLevel="0" collapsed="false">
      <c r="A245" s="2" t="n">
        <v>1005924</v>
      </c>
      <c r="B245" s="2" t="s">
        <v>70</v>
      </c>
      <c r="C245" s="2" t="s">
        <v>52</v>
      </c>
      <c r="D245" s="2" t="n">
        <v>2017</v>
      </c>
      <c r="E245" s="2" t="s">
        <v>34</v>
      </c>
      <c r="F245" s="4" t="n">
        <v>398625.382</v>
      </c>
      <c r="G245" s="4" t="n">
        <v>320025.3</v>
      </c>
      <c r="H245" s="4" t="n">
        <v>78540.582</v>
      </c>
      <c r="I245" s="4" t="n">
        <v>126434.224</v>
      </c>
      <c r="J245" s="4" t="n">
        <v>193721.5</v>
      </c>
      <c r="K245" s="4" t="n">
        <v>78469.658</v>
      </c>
      <c r="L245" s="2" t="s">
        <v>30</v>
      </c>
      <c r="M245" s="2" t="s">
        <v>30</v>
      </c>
    </row>
    <row r="246" customFormat="false" ht="15" hidden="false" customHeight="false" outlineLevel="0" collapsed="false">
      <c r="A246" s="2" t="n">
        <v>1005924</v>
      </c>
      <c r="B246" s="2" t="s">
        <v>70</v>
      </c>
      <c r="C246" s="2" t="s">
        <v>52</v>
      </c>
      <c r="D246" s="2" t="n">
        <v>2018</v>
      </c>
      <c r="E246" s="2" t="s">
        <v>34</v>
      </c>
      <c r="F246" s="4" t="n">
        <v>406368.324</v>
      </c>
      <c r="G246" s="4" t="n">
        <v>384022.4</v>
      </c>
      <c r="H246" s="4" t="n">
        <v>22271.924</v>
      </c>
      <c r="I246" s="4" t="n">
        <v>157413.508</v>
      </c>
      <c r="J246" s="4" t="n">
        <v>226771.1</v>
      </c>
      <c r="K246" s="4" t="n">
        <v>22183.716</v>
      </c>
      <c r="L246" s="2" t="s">
        <v>30</v>
      </c>
      <c r="M246" s="2" t="s">
        <v>30</v>
      </c>
    </row>
    <row r="247" customFormat="false" ht="15" hidden="false" customHeight="false" outlineLevel="0" collapsed="false">
      <c r="A247" s="2" t="n">
        <v>1005924</v>
      </c>
      <c r="B247" s="2" t="s">
        <v>70</v>
      </c>
      <c r="C247" s="2" t="s">
        <v>52</v>
      </c>
      <c r="D247" s="2" t="n">
        <v>2019</v>
      </c>
      <c r="E247" s="2" t="s">
        <v>34</v>
      </c>
      <c r="F247" s="4" t="n">
        <v>434448.182</v>
      </c>
      <c r="G247" s="4" t="n">
        <v>380135</v>
      </c>
      <c r="H247" s="4" t="n">
        <v>54238.682</v>
      </c>
      <c r="I247" s="4" t="n">
        <v>158344.004</v>
      </c>
      <c r="J247" s="4" t="n">
        <v>221954.3</v>
      </c>
      <c r="K247" s="4" t="n">
        <v>54149.878</v>
      </c>
      <c r="L247" s="2" t="s">
        <v>30</v>
      </c>
      <c r="M247" s="2" t="s">
        <v>30</v>
      </c>
    </row>
    <row r="248" customFormat="false" ht="15" hidden="false" customHeight="false" outlineLevel="0" collapsed="false">
      <c r="A248" s="2" t="n">
        <v>1005924</v>
      </c>
      <c r="B248" s="2" t="s">
        <v>70</v>
      </c>
      <c r="C248" s="2" t="s">
        <v>52</v>
      </c>
      <c r="D248" s="2" t="n">
        <v>2020</v>
      </c>
      <c r="E248" s="2" t="s">
        <v>34</v>
      </c>
      <c r="F248" s="4" t="n">
        <v>432358.304</v>
      </c>
      <c r="G248" s="4" t="n">
        <v>380310.2</v>
      </c>
      <c r="H248" s="4" t="n">
        <v>51970.604</v>
      </c>
      <c r="I248" s="4" t="n">
        <v>164801.38</v>
      </c>
      <c r="J248" s="4" t="n">
        <v>215678.7</v>
      </c>
      <c r="K248" s="4" t="n">
        <v>51878.224</v>
      </c>
      <c r="L248" s="2" t="s">
        <v>30</v>
      </c>
      <c r="M248" s="2" t="s">
        <v>30</v>
      </c>
    </row>
    <row r="249" customFormat="false" ht="15" hidden="false" customHeight="false" outlineLevel="0" collapsed="false">
      <c r="A249" s="2" t="n">
        <v>1005924</v>
      </c>
      <c r="B249" s="2" t="s">
        <v>70</v>
      </c>
      <c r="C249" s="2" t="s">
        <v>52</v>
      </c>
      <c r="D249" s="2" t="n">
        <v>2021</v>
      </c>
      <c r="E249" s="2" t="s">
        <v>34</v>
      </c>
      <c r="F249" s="4" t="n">
        <v>452804.81</v>
      </c>
      <c r="G249" s="4" t="n">
        <v>381477</v>
      </c>
      <c r="H249" s="4" t="n">
        <v>71250.31</v>
      </c>
      <c r="I249" s="4" t="n">
        <v>164552.88</v>
      </c>
      <c r="J249" s="4" t="n">
        <v>217094</v>
      </c>
      <c r="K249" s="4" t="n">
        <v>71157.93</v>
      </c>
      <c r="L249" s="2" t="s">
        <v>30</v>
      </c>
      <c r="M249" s="2" t="s">
        <v>30</v>
      </c>
    </row>
    <row r="250" customFormat="false" ht="15" hidden="false" customHeight="false" outlineLevel="0" collapsed="false">
      <c r="A250" s="2" t="n">
        <v>1005924</v>
      </c>
      <c r="B250" s="2" t="s">
        <v>70</v>
      </c>
      <c r="C250" s="2" t="s">
        <v>52</v>
      </c>
      <c r="D250" s="2" t="n">
        <v>2022</v>
      </c>
      <c r="E250" s="2" t="s">
        <v>34</v>
      </c>
      <c r="F250" s="4" t="n">
        <v>509609.528</v>
      </c>
      <c r="G250" s="4" t="n">
        <v>382385.3</v>
      </c>
      <c r="H250" s="4" t="n">
        <v>127144.978</v>
      </c>
      <c r="I250" s="4" t="n">
        <v>168352.216</v>
      </c>
      <c r="J250" s="4" t="n">
        <v>214206.8</v>
      </c>
      <c r="K250" s="4" t="n">
        <v>127050.512</v>
      </c>
      <c r="L250" s="2" t="s">
        <v>30</v>
      </c>
      <c r="M250" s="2" t="s">
        <v>30</v>
      </c>
    </row>
    <row r="251" customFormat="false" ht="15" hidden="false" customHeight="false" outlineLevel="0" collapsed="false">
      <c r="A251" s="2" t="n">
        <v>1005924</v>
      </c>
      <c r="B251" s="2" t="s">
        <v>70</v>
      </c>
      <c r="C251" s="2" t="s">
        <v>52</v>
      </c>
      <c r="D251" s="2" t="n">
        <v>2023</v>
      </c>
      <c r="E251" s="2" t="s">
        <v>34</v>
      </c>
      <c r="F251" s="4" t="n">
        <v>383736.302</v>
      </c>
      <c r="G251" s="4" t="n">
        <v>318598.3</v>
      </c>
      <c r="H251" s="4" t="n">
        <v>65068.002</v>
      </c>
      <c r="I251" s="4" t="n">
        <v>148711.74</v>
      </c>
      <c r="J251" s="4" t="n">
        <v>170040</v>
      </c>
      <c r="K251" s="4" t="n">
        <v>64984.562</v>
      </c>
      <c r="L251" s="2" t="s">
        <v>30</v>
      </c>
      <c r="M251" s="2" t="s">
        <v>30</v>
      </c>
    </row>
    <row r="252" customFormat="false" ht="15" hidden="false" customHeight="false" outlineLevel="0" collapsed="false">
      <c r="A252" s="2" t="n">
        <v>1006005</v>
      </c>
      <c r="B252" s="2" t="s">
        <v>71</v>
      </c>
      <c r="C252" s="2" t="s">
        <v>49</v>
      </c>
      <c r="D252" s="2" t="n">
        <v>2010</v>
      </c>
      <c r="E252" s="2" t="s">
        <v>34</v>
      </c>
      <c r="F252" s="4" t="n">
        <v>1448598.104</v>
      </c>
      <c r="G252" s="4" t="n">
        <v>700060.9</v>
      </c>
      <c r="H252" s="4" t="n">
        <v>748418.954</v>
      </c>
      <c r="I252" s="4" t="n">
        <v>251098.604</v>
      </c>
      <c r="J252" s="4" t="n">
        <v>449221.5</v>
      </c>
      <c r="K252" s="4" t="n">
        <v>748278</v>
      </c>
      <c r="L252" s="2" t="s">
        <v>30</v>
      </c>
      <c r="M252" s="2" t="s">
        <v>30</v>
      </c>
    </row>
    <row r="253" customFormat="false" ht="15" hidden="false" customHeight="false" outlineLevel="0" collapsed="false">
      <c r="A253" s="2" t="n">
        <v>1006005</v>
      </c>
      <c r="B253" s="2" t="s">
        <v>71</v>
      </c>
      <c r="C253" s="2" t="s">
        <v>49</v>
      </c>
      <c r="D253" s="2" t="n">
        <v>2011</v>
      </c>
      <c r="E253" s="2" t="s">
        <v>34</v>
      </c>
      <c r="F253" s="4" t="n">
        <v>1376566.212</v>
      </c>
      <c r="G253" s="4" t="n">
        <v>699564.9</v>
      </c>
      <c r="H253" s="4" t="n">
        <v>676890.312</v>
      </c>
      <c r="I253" s="4" t="n">
        <v>235446.212</v>
      </c>
      <c r="J253" s="4" t="n">
        <v>464362</v>
      </c>
      <c r="K253" s="4" t="n">
        <v>676758</v>
      </c>
      <c r="L253" s="2" t="s">
        <v>30</v>
      </c>
      <c r="M253" s="2" t="s">
        <v>30</v>
      </c>
    </row>
    <row r="254" customFormat="false" ht="15" hidden="false" customHeight="false" outlineLevel="0" collapsed="false">
      <c r="A254" s="2" t="n">
        <v>1006005</v>
      </c>
      <c r="B254" s="2" t="s">
        <v>71</v>
      </c>
      <c r="C254" s="2" t="s">
        <v>49</v>
      </c>
      <c r="D254" s="2" t="n">
        <v>2012</v>
      </c>
      <c r="E254" s="2" t="s">
        <v>34</v>
      </c>
      <c r="F254" s="4" t="n">
        <v>1320028.124</v>
      </c>
      <c r="G254" s="4" t="n">
        <v>686538.1</v>
      </c>
      <c r="H254" s="4" t="n">
        <v>633380.524</v>
      </c>
      <c r="I254" s="4" t="n">
        <v>232528.424</v>
      </c>
      <c r="J254" s="4" t="n">
        <v>454249.7</v>
      </c>
      <c r="K254" s="4" t="n">
        <v>633250</v>
      </c>
      <c r="L254" s="2" t="s">
        <v>30</v>
      </c>
      <c r="M254" s="2" t="s">
        <v>30</v>
      </c>
    </row>
    <row r="255" customFormat="false" ht="15" hidden="false" customHeight="false" outlineLevel="0" collapsed="false">
      <c r="A255" s="2" t="n">
        <v>1006005</v>
      </c>
      <c r="B255" s="2" t="s">
        <v>71</v>
      </c>
      <c r="C255" s="2" t="s">
        <v>49</v>
      </c>
      <c r="D255" s="2" t="n">
        <v>2013</v>
      </c>
      <c r="E255" s="2" t="s">
        <v>34</v>
      </c>
      <c r="F255" s="4" t="n">
        <v>1346242.876</v>
      </c>
      <c r="G255" s="4" t="n">
        <v>742524.8</v>
      </c>
      <c r="H255" s="4" t="n">
        <v>603602.576</v>
      </c>
      <c r="I255" s="4" t="n">
        <v>245273.876</v>
      </c>
      <c r="J255" s="4" t="n">
        <v>497504.1</v>
      </c>
      <c r="K255" s="4" t="n">
        <v>603464.9</v>
      </c>
      <c r="L255" s="2" t="s">
        <v>30</v>
      </c>
      <c r="M255" s="2" t="s">
        <v>30</v>
      </c>
    </row>
    <row r="256" customFormat="false" ht="15" hidden="false" customHeight="false" outlineLevel="0" collapsed="false">
      <c r="A256" s="2" t="n">
        <v>1006005</v>
      </c>
      <c r="B256" s="2" t="s">
        <v>71</v>
      </c>
      <c r="C256" s="2" t="s">
        <v>49</v>
      </c>
      <c r="D256" s="2" t="n">
        <v>2014</v>
      </c>
      <c r="E256" s="2" t="s">
        <v>34</v>
      </c>
      <c r="F256" s="4" t="n">
        <v>1259842.656</v>
      </c>
      <c r="G256" s="4" t="n">
        <v>681600.6</v>
      </c>
      <c r="H256" s="4" t="n">
        <v>578126.556</v>
      </c>
      <c r="I256" s="4" t="n">
        <v>245322.776</v>
      </c>
      <c r="J256" s="4" t="n">
        <v>436531</v>
      </c>
      <c r="K256" s="4" t="n">
        <v>577988.88</v>
      </c>
      <c r="L256" s="2" t="s">
        <v>30</v>
      </c>
      <c r="M256" s="2" t="s">
        <v>30</v>
      </c>
    </row>
    <row r="257" customFormat="false" ht="15" hidden="false" customHeight="false" outlineLevel="0" collapsed="false">
      <c r="A257" s="2" t="n">
        <v>1006005</v>
      </c>
      <c r="B257" s="2" t="s">
        <v>71</v>
      </c>
      <c r="C257" s="2" t="s">
        <v>49</v>
      </c>
      <c r="D257" s="2" t="n">
        <v>2015</v>
      </c>
      <c r="E257" s="2" t="s">
        <v>34</v>
      </c>
      <c r="F257" s="4" t="n">
        <v>1230731.252</v>
      </c>
      <c r="G257" s="4" t="n">
        <v>690165</v>
      </c>
      <c r="H257" s="4" t="n">
        <v>540452.502</v>
      </c>
      <c r="I257" s="4" t="n">
        <v>241434.74</v>
      </c>
      <c r="J257" s="4" t="n">
        <v>448979.6</v>
      </c>
      <c r="K257" s="4" t="n">
        <v>540316.912</v>
      </c>
      <c r="L257" s="2" t="s">
        <v>30</v>
      </c>
      <c r="M257" s="2" t="s">
        <v>30</v>
      </c>
    </row>
    <row r="258" customFormat="false" ht="15" hidden="false" customHeight="false" outlineLevel="0" collapsed="false">
      <c r="A258" s="2" t="n">
        <v>1006005</v>
      </c>
      <c r="B258" s="2" t="s">
        <v>71</v>
      </c>
      <c r="C258" s="2" t="s">
        <v>49</v>
      </c>
      <c r="D258" s="2" t="n">
        <v>2016</v>
      </c>
      <c r="E258" s="2" t="s">
        <v>34</v>
      </c>
      <c r="F258" s="4" t="n">
        <v>1271968.826</v>
      </c>
      <c r="G258" s="4" t="n">
        <v>726002.1</v>
      </c>
      <c r="H258" s="4" t="n">
        <v>545842.726</v>
      </c>
      <c r="I258" s="4" t="n">
        <v>263640.508</v>
      </c>
      <c r="J258" s="4" t="n">
        <v>462633.4</v>
      </c>
      <c r="K258" s="4" t="n">
        <v>545694.918</v>
      </c>
      <c r="L258" s="2" t="s">
        <v>30</v>
      </c>
      <c r="M258" s="2" t="s">
        <v>30</v>
      </c>
    </row>
    <row r="259" customFormat="false" ht="15" hidden="false" customHeight="false" outlineLevel="0" collapsed="false">
      <c r="A259" s="2" t="n">
        <v>1006005</v>
      </c>
      <c r="B259" s="2" t="s">
        <v>71</v>
      </c>
      <c r="C259" s="2" t="s">
        <v>49</v>
      </c>
      <c r="D259" s="2" t="n">
        <v>2017</v>
      </c>
      <c r="E259" s="2" t="s">
        <v>34</v>
      </c>
      <c r="F259" s="4" t="n">
        <v>2786006.214</v>
      </c>
      <c r="G259" s="4" t="n">
        <v>2343845.5</v>
      </c>
      <c r="H259" s="4" t="n">
        <v>441775.464</v>
      </c>
      <c r="I259" s="4" t="n">
        <v>834658.068</v>
      </c>
      <c r="J259" s="4" t="n">
        <v>1510031.9</v>
      </c>
      <c r="K259" s="4" t="n">
        <v>441316.246</v>
      </c>
      <c r="L259" s="2" t="s">
        <v>30</v>
      </c>
      <c r="M259" s="2" t="s">
        <v>30</v>
      </c>
    </row>
    <row r="260" customFormat="false" ht="15" hidden="false" customHeight="false" outlineLevel="0" collapsed="false">
      <c r="A260" s="2" t="n">
        <v>1006005</v>
      </c>
      <c r="B260" s="2" t="s">
        <v>71</v>
      </c>
      <c r="C260" s="2" t="s">
        <v>49</v>
      </c>
      <c r="D260" s="2" t="n">
        <v>2018</v>
      </c>
      <c r="E260" s="2" t="s">
        <v>34</v>
      </c>
      <c r="F260" s="4" t="n">
        <v>3027856.076</v>
      </c>
      <c r="G260" s="4" t="n">
        <v>2486125.8</v>
      </c>
      <c r="H260" s="4" t="n">
        <v>541253.526</v>
      </c>
      <c r="I260" s="4" t="n">
        <v>876607.636</v>
      </c>
      <c r="J260" s="4" t="n">
        <v>1610563.2</v>
      </c>
      <c r="K260" s="4" t="n">
        <v>540685.24</v>
      </c>
      <c r="L260" s="2" t="s">
        <v>30</v>
      </c>
      <c r="M260" s="2" t="s">
        <v>30</v>
      </c>
    </row>
    <row r="261" customFormat="false" ht="15" hidden="false" customHeight="false" outlineLevel="0" collapsed="false">
      <c r="A261" s="2" t="n">
        <v>1006005</v>
      </c>
      <c r="B261" s="2" t="s">
        <v>71</v>
      </c>
      <c r="C261" s="2" t="s">
        <v>49</v>
      </c>
      <c r="D261" s="2" t="n">
        <v>2019</v>
      </c>
      <c r="E261" s="2" t="s">
        <v>34</v>
      </c>
      <c r="F261" s="4" t="n">
        <v>3004988.046</v>
      </c>
      <c r="G261" s="4" t="n">
        <v>2432398.8</v>
      </c>
      <c r="H261" s="4" t="n">
        <v>572138.246</v>
      </c>
      <c r="I261" s="4" t="n">
        <v>884881.292</v>
      </c>
      <c r="J261" s="4" t="n">
        <v>1548506.1</v>
      </c>
      <c r="K261" s="4" t="n">
        <v>571600.654</v>
      </c>
      <c r="L261" s="2" t="s">
        <v>30</v>
      </c>
      <c r="M261" s="2" t="s">
        <v>30</v>
      </c>
    </row>
    <row r="262" customFormat="false" ht="15" hidden="false" customHeight="false" outlineLevel="0" collapsed="false">
      <c r="A262" s="2" t="n">
        <v>1006005</v>
      </c>
      <c r="B262" s="2" t="s">
        <v>71</v>
      </c>
      <c r="C262" s="2" t="s">
        <v>49</v>
      </c>
      <c r="D262" s="2" t="n">
        <v>2020</v>
      </c>
      <c r="E262" s="2" t="s">
        <v>34</v>
      </c>
      <c r="F262" s="4" t="n">
        <v>2888938.586</v>
      </c>
      <c r="G262" s="4" t="n">
        <v>2499053.3</v>
      </c>
      <c r="H262" s="4" t="n">
        <v>389421.036</v>
      </c>
      <c r="I262" s="4" t="n">
        <v>933154.536</v>
      </c>
      <c r="J262" s="4" t="n">
        <v>1566916.4</v>
      </c>
      <c r="K262" s="4" t="n">
        <v>388867.65</v>
      </c>
      <c r="L262" s="2" t="s">
        <v>30</v>
      </c>
      <c r="M262" s="2" t="s">
        <v>30</v>
      </c>
    </row>
    <row r="263" customFormat="false" ht="15" hidden="false" customHeight="false" outlineLevel="0" collapsed="false">
      <c r="A263" s="2" t="n">
        <v>1006005</v>
      </c>
      <c r="B263" s="2" t="s">
        <v>71</v>
      </c>
      <c r="C263" s="2" t="s">
        <v>49</v>
      </c>
      <c r="D263" s="2" t="n">
        <v>2021</v>
      </c>
      <c r="E263" s="2" t="s">
        <v>34</v>
      </c>
      <c r="F263" s="4" t="n">
        <v>2764237.958</v>
      </c>
      <c r="G263" s="4" t="n">
        <v>2223422</v>
      </c>
      <c r="H263" s="4" t="n">
        <v>540399.458</v>
      </c>
      <c r="I263" s="4" t="n">
        <v>842113.164</v>
      </c>
      <c r="J263" s="4" t="n">
        <v>1382222.4</v>
      </c>
      <c r="K263" s="4" t="n">
        <v>539902.394</v>
      </c>
      <c r="L263" s="2" t="s">
        <v>30</v>
      </c>
      <c r="M263" s="2" t="s">
        <v>30</v>
      </c>
    </row>
    <row r="264" customFormat="false" ht="15" hidden="false" customHeight="false" outlineLevel="0" collapsed="false">
      <c r="A264" s="2" t="n">
        <v>1006005</v>
      </c>
      <c r="B264" s="2" t="s">
        <v>71</v>
      </c>
      <c r="C264" s="2" t="s">
        <v>49</v>
      </c>
      <c r="D264" s="2" t="n">
        <v>2022</v>
      </c>
      <c r="E264" s="2" t="s">
        <v>34</v>
      </c>
      <c r="F264" s="4" t="n">
        <v>3180457.416</v>
      </c>
      <c r="G264" s="4" t="n">
        <v>2563756</v>
      </c>
      <c r="H264" s="4" t="n">
        <v>616216.916</v>
      </c>
      <c r="I264" s="4" t="n">
        <v>938642.624</v>
      </c>
      <c r="J264" s="4" t="n">
        <v>1626175.4</v>
      </c>
      <c r="K264" s="4" t="n">
        <v>615639.392</v>
      </c>
      <c r="L264" s="2" t="s">
        <v>30</v>
      </c>
      <c r="M264" s="2" t="s">
        <v>30</v>
      </c>
    </row>
    <row r="265" customFormat="false" ht="15" hidden="false" customHeight="false" outlineLevel="0" collapsed="false">
      <c r="A265" s="2" t="n">
        <v>1006005</v>
      </c>
      <c r="B265" s="2" t="s">
        <v>71</v>
      </c>
      <c r="C265" s="2" t="s">
        <v>49</v>
      </c>
      <c r="D265" s="2" t="n">
        <v>2023</v>
      </c>
      <c r="E265" s="2" t="s">
        <v>34</v>
      </c>
      <c r="F265" s="4" t="n">
        <v>3191236.552</v>
      </c>
      <c r="G265" s="4" t="n">
        <v>2599267.7</v>
      </c>
      <c r="H265" s="4" t="n">
        <v>591470.102</v>
      </c>
      <c r="I265" s="4" t="n">
        <v>976188.26</v>
      </c>
      <c r="J265" s="4" t="n">
        <v>1624172.7</v>
      </c>
      <c r="K265" s="4" t="n">
        <v>590875.592</v>
      </c>
      <c r="L265" s="2" t="s">
        <v>30</v>
      </c>
      <c r="M265" s="2" t="s">
        <v>30</v>
      </c>
    </row>
    <row r="266" customFormat="false" ht="15" hidden="false" customHeight="false" outlineLevel="0" collapsed="false">
      <c r="A266" s="2" t="n">
        <v>1006037</v>
      </c>
      <c r="B266" s="2" t="s">
        <v>72</v>
      </c>
      <c r="C266" s="2" t="s">
        <v>32</v>
      </c>
      <c r="D266" s="2" t="n">
        <v>2010</v>
      </c>
      <c r="E266" s="2" t="s">
        <v>34</v>
      </c>
      <c r="F266" s="4" t="n">
        <v>517623.67</v>
      </c>
      <c r="G266" s="4" t="n">
        <v>494055.9</v>
      </c>
      <c r="H266" s="4" t="n">
        <v>23464.52</v>
      </c>
      <c r="I266" s="4" t="n">
        <v>218990.83</v>
      </c>
      <c r="J266" s="4" t="n">
        <v>275290.5</v>
      </c>
      <c r="K266" s="4" t="n">
        <v>23342.34</v>
      </c>
      <c r="L266" s="2" t="s">
        <v>30</v>
      </c>
      <c r="M266" s="2" t="s">
        <v>30</v>
      </c>
    </row>
    <row r="267" customFormat="false" ht="15" hidden="false" customHeight="false" outlineLevel="0" collapsed="false">
      <c r="A267" s="2" t="n">
        <v>1006037</v>
      </c>
      <c r="B267" s="2" t="s">
        <v>72</v>
      </c>
      <c r="C267" s="2" t="s">
        <v>32</v>
      </c>
      <c r="D267" s="2" t="n">
        <v>2011</v>
      </c>
      <c r="E267" s="2" t="s">
        <v>34</v>
      </c>
      <c r="F267" s="4" t="n">
        <v>524528.032</v>
      </c>
      <c r="G267" s="4" t="n">
        <v>516759</v>
      </c>
      <c r="H267" s="4" t="n">
        <v>7661.282</v>
      </c>
      <c r="I267" s="4" t="n">
        <v>228762.39</v>
      </c>
      <c r="J267" s="4" t="n">
        <v>288232.5</v>
      </c>
      <c r="K267" s="4" t="n">
        <v>7533.142</v>
      </c>
      <c r="L267" s="2" t="s">
        <v>30</v>
      </c>
      <c r="M267" s="2" t="s">
        <v>30</v>
      </c>
    </row>
    <row r="268" customFormat="false" ht="15" hidden="false" customHeight="false" outlineLevel="0" collapsed="false">
      <c r="A268" s="2" t="n">
        <v>1006037</v>
      </c>
      <c r="B268" s="2" t="s">
        <v>72</v>
      </c>
      <c r="C268" s="2" t="s">
        <v>32</v>
      </c>
      <c r="D268" s="2" t="n">
        <v>2012</v>
      </c>
      <c r="E268" s="2" t="s">
        <v>34</v>
      </c>
      <c r="F268" s="4" t="n">
        <v>552143.296</v>
      </c>
      <c r="G268" s="4" t="n">
        <v>542621.6</v>
      </c>
      <c r="H268" s="4" t="n">
        <v>9409.946</v>
      </c>
      <c r="I268" s="4" t="n">
        <v>237002.356</v>
      </c>
      <c r="J268" s="4" t="n">
        <v>305864.2</v>
      </c>
      <c r="K268" s="4" t="n">
        <v>9276.74</v>
      </c>
      <c r="L268" s="2" t="s">
        <v>30</v>
      </c>
      <c r="M268" s="2" t="s">
        <v>30</v>
      </c>
    </row>
    <row r="269" customFormat="false" ht="15" hidden="false" customHeight="false" outlineLevel="0" collapsed="false">
      <c r="A269" s="2" t="n">
        <v>1006037</v>
      </c>
      <c r="B269" s="2" t="s">
        <v>72</v>
      </c>
      <c r="C269" s="2" t="s">
        <v>32</v>
      </c>
      <c r="D269" s="2" t="n">
        <v>2013</v>
      </c>
      <c r="E269" s="2" t="s">
        <v>34</v>
      </c>
      <c r="F269" s="4" t="n">
        <v>499773.26</v>
      </c>
      <c r="G269" s="4" t="n">
        <v>495528.8</v>
      </c>
      <c r="H269" s="4" t="n">
        <v>4140.71</v>
      </c>
      <c r="I269" s="4" t="n">
        <v>220223.22</v>
      </c>
      <c r="J269" s="4" t="n">
        <v>275533</v>
      </c>
      <c r="K269" s="4" t="n">
        <v>4017.04</v>
      </c>
      <c r="L269" s="2" t="s">
        <v>30</v>
      </c>
      <c r="M269" s="2" t="s">
        <v>30</v>
      </c>
    </row>
    <row r="270" customFormat="false" ht="15" hidden="false" customHeight="false" outlineLevel="0" collapsed="false">
      <c r="A270" s="2" t="n">
        <v>1006037</v>
      </c>
      <c r="B270" s="2" t="s">
        <v>72</v>
      </c>
      <c r="C270" s="2" t="s">
        <v>32</v>
      </c>
      <c r="D270" s="2" t="n">
        <v>2014</v>
      </c>
      <c r="E270" s="2" t="s">
        <v>34</v>
      </c>
      <c r="F270" s="4" t="n">
        <v>531950.95</v>
      </c>
      <c r="G270" s="4" t="n">
        <v>526251</v>
      </c>
      <c r="H270" s="4" t="n">
        <v>5594.95</v>
      </c>
      <c r="I270" s="4" t="n">
        <v>223315.26</v>
      </c>
      <c r="J270" s="4" t="n">
        <v>303165.9</v>
      </c>
      <c r="K270" s="4" t="n">
        <v>5469.79</v>
      </c>
      <c r="L270" s="2" t="s">
        <v>30</v>
      </c>
      <c r="M270" s="2" t="s">
        <v>30</v>
      </c>
    </row>
    <row r="271" customFormat="false" ht="15" hidden="false" customHeight="false" outlineLevel="0" collapsed="false">
      <c r="A271" s="2" t="n">
        <v>1006037</v>
      </c>
      <c r="B271" s="2" t="s">
        <v>72</v>
      </c>
      <c r="C271" s="2" t="s">
        <v>32</v>
      </c>
      <c r="D271" s="2" t="n">
        <v>2015</v>
      </c>
      <c r="E271" s="2" t="s">
        <v>34</v>
      </c>
      <c r="F271" s="4" t="n">
        <v>506418.09</v>
      </c>
      <c r="G271" s="4" t="n">
        <v>494773.3</v>
      </c>
      <c r="H271" s="4" t="n">
        <v>11541.54</v>
      </c>
      <c r="I271" s="4" t="n">
        <v>219316.224</v>
      </c>
      <c r="J271" s="4" t="n">
        <v>275683.4</v>
      </c>
      <c r="K271" s="4" t="n">
        <v>11418.466</v>
      </c>
      <c r="L271" s="2" t="s">
        <v>30</v>
      </c>
      <c r="M271" s="2" t="s">
        <v>30</v>
      </c>
    </row>
    <row r="272" customFormat="false" ht="15" hidden="false" customHeight="false" outlineLevel="0" collapsed="false">
      <c r="A272" s="2" t="n">
        <v>1006037</v>
      </c>
      <c r="B272" s="2" t="s">
        <v>72</v>
      </c>
      <c r="C272" s="2" t="s">
        <v>32</v>
      </c>
      <c r="D272" s="2" t="n">
        <v>2016</v>
      </c>
      <c r="E272" s="2" t="s">
        <v>34</v>
      </c>
      <c r="F272" s="4" t="n">
        <v>459613.382</v>
      </c>
      <c r="G272" s="4" t="n">
        <v>451850.9</v>
      </c>
      <c r="H272" s="4" t="n">
        <v>7668.732</v>
      </c>
      <c r="I272" s="4" t="n">
        <v>198995.4</v>
      </c>
      <c r="J272" s="4" t="n">
        <v>253061</v>
      </c>
      <c r="K272" s="4" t="n">
        <v>7556.982</v>
      </c>
      <c r="L272" s="2" t="s">
        <v>30</v>
      </c>
      <c r="M272" s="2" t="s">
        <v>30</v>
      </c>
    </row>
    <row r="273" customFormat="false" ht="15" hidden="false" customHeight="false" outlineLevel="0" collapsed="false">
      <c r="A273" s="2" t="n">
        <v>1006037</v>
      </c>
      <c r="B273" s="2" t="s">
        <v>72</v>
      </c>
      <c r="C273" s="2" t="s">
        <v>32</v>
      </c>
      <c r="D273" s="2" t="n">
        <v>2017</v>
      </c>
      <c r="E273" s="2" t="s">
        <v>34</v>
      </c>
      <c r="F273" s="4" t="n">
        <v>527099.77</v>
      </c>
      <c r="G273" s="4" t="n">
        <v>519296.2</v>
      </c>
      <c r="H273" s="4" t="n">
        <v>7700.32</v>
      </c>
      <c r="I273" s="4" t="n">
        <v>219310.624</v>
      </c>
      <c r="J273" s="4" t="n">
        <v>300211.9</v>
      </c>
      <c r="K273" s="4" t="n">
        <v>7577.246</v>
      </c>
      <c r="L273" s="2" t="s">
        <v>30</v>
      </c>
      <c r="M273" s="2" t="s">
        <v>30</v>
      </c>
    </row>
    <row r="274" customFormat="false" ht="15" hidden="false" customHeight="false" outlineLevel="0" collapsed="false">
      <c r="A274" s="2" t="n">
        <v>1006037</v>
      </c>
      <c r="B274" s="2" t="s">
        <v>72</v>
      </c>
      <c r="C274" s="2" t="s">
        <v>32</v>
      </c>
      <c r="D274" s="2" t="n">
        <v>2018</v>
      </c>
      <c r="E274" s="2" t="s">
        <v>34</v>
      </c>
      <c r="F274" s="4" t="n">
        <v>544739.912</v>
      </c>
      <c r="G274" s="4" t="n">
        <v>540944.7</v>
      </c>
      <c r="H274" s="4" t="n">
        <v>3685.962</v>
      </c>
      <c r="I274" s="4" t="n">
        <v>232032.276</v>
      </c>
      <c r="J274" s="4" t="n">
        <v>309151.9</v>
      </c>
      <c r="K274" s="4" t="n">
        <v>3555.736</v>
      </c>
      <c r="L274" s="2" t="s">
        <v>30</v>
      </c>
      <c r="M274" s="2" t="s">
        <v>30</v>
      </c>
    </row>
    <row r="275" customFormat="false" ht="15" hidden="false" customHeight="false" outlineLevel="0" collapsed="false">
      <c r="A275" s="2" t="n">
        <v>1006037</v>
      </c>
      <c r="B275" s="2" t="s">
        <v>72</v>
      </c>
      <c r="C275" s="2" t="s">
        <v>32</v>
      </c>
      <c r="D275" s="2" t="n">
        <v>2019</v>
      </c>
      <c r="E275" s="2" t="s">
        <v>34</v>
      </c>
      <c r="F275" s="4" t="n">
        <v>501717.96</v>
      </c>
      <c r="G275" s="4" t="n">
        <v>498686.1</v>
      </c>
      <c r="H275" s="4" t="n">
        <v>2926.36</v>
      </c>
      <c r="I275" s="4" t="n">
        <v>224046.456</v>
      </c>
      <c r="J275" s="4" t="n">
        <v>274870.9</v>
      </c>
      <c r="K275" s="4" t="n">
        <v>2800.604</v>
      </c>
      <c r="L275" s="2" t="s">
        <v>30</v>
      </c>
      <c r="M275" s="2" t="s">
        <v>30</v>
      </c>
    </row>
    <row r="276" customFormat="false" ht="15" hidden="false" customHeight="false" outlineLevel="0" collapsed="false">
      <c r="A276" s="2" t="n">
        <v>1006037</v>
      </c>
      <c r="B276" s="2" t="s">
        <v>72</v>
      </c>
      <c r="C276" s="2" t="s">
        <v>32</v>
      </c>
      <c r="D276" s="2" t="n">
        <v>2020</v>
      </c>
      <c r="E276" s="2" t="s">
        <v>34</v>
      </c>
      <c r="F276" s="4" t="n">
        <v>582840.96</v>
      </c>
      <c r="G276" s="4" t="n">
        <v>574773.8</v>
      </c>
      <c r="H276" s="4" t="n">
        <v>7947.66</v>
      </c>
      <c r="I276" s="4" t="n">
        <v>253659.744</v>
      </c>
      <c r="J276" s="4" t="n">
        <v>321376</v>
      </c>
      <c r="K276" s="4" t="n">
        <v>7805.216</v>
      </c>
      <c r="L276" s="2" t="s">
        <v>30</v>
      </c>
      <c r="M276" s="2" t="s">
        <v>30</v>
      </c>
    </row>
    <row r="277" customFormat="false" ht="15" hidden="false" customHeight="false" outlineLevel="0" collapsed="false">
      <c r="A277" s="2" t="n">
        <v>1006037</v>
      </c>
      <c r="B277" s="2" t="s">
        <v>72</v>
      </c>
      <c r="C277" s="2" t="s">
        <v>32</v>
      </c>
      <c r="D277" s="2" t="n">
        <v>2021</v>
      </c>
      <c r="E277" s="2" t="s">
        <v>34</v>
      </c>
      <c r="F277" s="4" t="n">
        <v>562543.712</v>
      </c>
      <c r="G277" s="4" t="n">
        <v>560468.9</v>
      </c>
      <c r="H277" s="4" t="n">
        <v>1957.562</v>
      </c>
      <c r="I277" s="4" t="n">
        <v>248913.512</v>
      </c>
      <c r="J277" s="4" t="n">
        <v>311812.4</v>
      </c>
      <c r="K277" s="4" t="n">
        <v>1817.8</v>
      </c>
      <c r="L277" s="2" t="s">
        <v>30</v>
      </c>
      <c r="M277" s="2" t="s">
        <v>30</v>
      </c>
    </row>
    <row r="278" customFormat="false" ht="15" hidden="false" customHeight="false" outlineLevel="0" collapsed="false">
      <c r="A278" s="2" t="n">
        <v>1006037</v>
      </c>
      <c r="B278" s="2" t="s">
        <v>72</v>
      </c>
      <c r="C278" s="2" t="s">
        <v>32</v>
      </c>
      <c r="D278" s="2" t="n">
        <v>2022</v>
      </c>
      <c r="E278" s="2" t="s">
        <v>34</v>
      </c>
      <c r="F278" s="4" t="n">
        <v>589710.29</v>
      </c>
      <c r="G278" s="4" t="n">
        <v>589325.3</v>
      </c>
      <c r="H278" s="4" t="n">
        <v>262.24</v>
      </c>
      <c r="I278" s="4" t="n">
        <v>260717.368</v>
      </c>
      <c r="J278" s="4" t="n">
        <v>328877</v>
      </c>
      <c r="K278" s="4" t="n">
        <v>115.922</v>
      </c>
      <c r="L278" s="2" t="s">
        <v>30</v>
      </c>
      <c r="M278" s="2" t="s">
        <v>30</v>
      </c>
    </row>
    <row r="279" customFormat="false" ht="15" hidden="false" customHeight="false" outlineLevel="0" collapsed="false">
      <c r="A279" s="2" t="n">
        <v>1006037</v>
      </c>
      <c r="B279" s="2" t="s">
        <v>72</v>
      </c>
      <c r="C279" s="2" t="s">
        <v>32</v>
      </c>
      <c r="D279" s="2" t="n">
        <v>2023</v>
      </c>
      <c r="E279" s="2" t="s">
        <v>34</v>
      </c>
      <c r="F279" s="4" t="n">
        <v>541912.484</v>
      </c>
      <c r="G279" s="4" t="n">
        <v>535926</v>
      </c>
      <c r="H279" s="4" t="n">
        <v>5872.984</v>
      </c>
      <c r="I279" s="4" t="n">
        <v>241194.992</v>
      </c>
      <c r="J279" s="4" t="n">
        <v>294979.8</v>
      </c>
      <c r="K279" s="4" t="n">
        <v>5737.692</v>
      </c>
      <c r="L279" s="2" t="s">
        <v>30</v>
      </c>
      <c r="M279" s="2" t="s">
        <v>30</v>
      </c>
    </row>
    <row r="280" customFormat="false" ht="15" hidden="false" customHeight="false" outlineLevel="0" collapsed="false">
      <c r="A280" s="2" t="n">
        <v>1006575</v>
      </c>
      <c r="B280" s="2" t="s">
        <v>73</v>
      </c>
      <c r="C280" s="2" t="s">
        <v>74</v>
      </c>
      <c r="D280" s="2" t="n">
        <v>2010</v>
      </c>
      <c r="E280" s="2" t="s">
        <v>34</v>
      </c>
      <c r="F280" s="4" t="n">
        <v>505364.29</v>
      </c>
      <c r="G280" s="4" t="n">
        <v>505017.3</v>
      </c>
      <c r="H280" s="4" t="n">
        <v>262.24</v>
      </c>
      <c r="I280" s="4" t="n">
        <v>179968.47</v>
      </c>
      <c r="J280" s="4" t="n">
        <v>325234.9</v>
      </c>
      <c r="K280" s="4" t="n">
        <v>160.92</v>
      </c>
      <c r="L280" s="2" t="s">
        <v>30</v>
      </c>
      <c r="M280" s="2" t="s">
        <v>30</v>
      </c>
    </row>
    <row r="281" customFormat="false" ht="15" hidden="false" customHeight="false" outlineLevel="0" collapsed="false">
      <c r="A281" s="2" t="n">
        <v>1006575</v>
      </c>
      <c r="B281" s="2" t="s">
        <v>73</v>
      </c>
      <c r="C281" s="2" t="s">
        <v>74</v>
      </c>
      <c r="D281" s="2" t="n">
        <v>2011</v>
      </c>
      <c r="E281" s="2" t="s">
        <v>34</v>
      </c>
      <c r="F281" s="4" t="n">
        <v>572513.024</v>
      </c>
      <c r="G281" s="4" t="n">
        <v>570899.3</v>
      </c>
      <c r="H281" s="4" t="n">
        <v>1516.224</v>
      </c>
      <c r="I281" s="4" t="n">
        <v>207022.52</v>
      </c>
      <c r="J281" s="4" t="n">
        <v>364090.5</v>
      </c>
      <c r="K281" s="4" t="n">
        <v>1400.004</v>
      </c>
      <c r="L281" s="2" t="s">
        <v>30</v>
      </c>
      <c r="M281" s="2" t="s">
        <v>30</v>
      </c>
    </row>
    <row r="282" customFormat="false" ht="15" hidden="false" customHeight="false" outlineLevel="0" collapsed="false">
      <c r="A282" s="2" t="n">
        <v>1006575</v>
      </c>
      <c r="B282" s="2" t="s">
        <v>73</v>
      </c>
      <c r="C282" s="2" t="s">
        <v>74</v>
      </c>
      <c r="D282" s="2" t="n">
        <v>2012</v>
      </c>
      <c r="E282" s="2" t="s">
        <v>34</v>
      </c>
      <c r="F282" s="4" t="n">
        <v>514627.468</v>
      </c>
      <c r="G282" s="4" t="n">
        <v>514354.9</v>
      </c>
      <c r="H282" s="4" t="n">
        <v>183.568</v>
      </c>
      <c r="I282" s="4" t="n">
        <v>188900.588</v>
      </c>
      <c r="J282" s="4" t="n">
        <v>325649.4</v>
      </c>
      <c r="K282" s="4" t="n">
        <v>77.48</v>
      </c>
      <c r="L282" s="2" t="s">
        <v>30</v>
      </c>
      <c r="M282" s="2" t="s">
        <v>30</v>
      </c>
    </row>
    <row r="283" customFormat="false" ht="15" hidden="false" customHeight="false" outlineLevel="0" collapsed="false">
      <c r="A283" s="2" t="n">
        <v>1006575</v>
      </c>
      <c r="B283" s="2" t="s">
        <v>73</v>
      </c>
      <c r="C283" s="2" t="s">
        <v>74</v>
      </c>
      <c r="D283" s="2" t="n">
        <v>2013</v>
      </c>
      <c r="E283" s="2" t="s">
        <v>34</v>
      </c>
      <c r="F283" s="4" t="n">
        <v>579323.604</v>
      </c>
      <c r="G283" s="4" t="n">
        <v>578837.3</v>
      </c>
      <c r="H283" s="4" t="n">
        <v>386.804</v>
      </c>
      <c r="I283" s="4" t="n">
        <v>211149.404</v>
      </c>
      <c r="J283" s="4" t="n">
        <v>367906</v>
      </c>
      <c r="K283" s="4" t="n">
        <v>268.2</v>
      </c>
      <c r="L283" s="2" t="s">
        <v>30</v>
      </c>
      <c r="M283" s="2" t="s">
        <v>30</v>
      </c>
    </row>
    <row r="284" customFormat="false" ht="15" hidden="false" customHeight="false" outlineLevel="0" collapsed="false">
      <c r="A284" s="2" t="n">
        <v>1006575</v>
      </c>
      <c r="B284" s="2" t="s">
        <v>73</v>
      </c>
      <c r="C284" s="2" t="s">
        <v>74</v>
      </c>
      <c r="D284" s="2" t="n">
        <v>2014</v>
      </c>
      <c r="E284" s="2" t="s">
        <v>34</v>
      </c>
      <c r="F284" s="4" t="n">
        <v>561958.914</v>
      </c>
      <c r="G284" s="4" t="n">
        <v>561649.2</v>
      </c>
      <c r="H284" s="4" t="n">
        <v>213.964</v>
      </c>
      <c r="I284" s="4" t="n">
        <v>203411.384</v>
      </c>
      <c r="J284" s="4" t="n">
        <v>358447.7</v>
      </c>
      <c r="K284" s="4" t="n">
        <v>99.83</v>
      </c>
      <c r="L284" s="2" t="s">
        <v>30</v>
      </c>
      <c r="M284" s="2" t="s">
        <v>30</v>
      </c>
    </row>
    <row r="285" customFormat="false" ht="15" hidden="false" customHeight="false" outlineLevel="0" collapsed="false">
      <c r="A285" s="2" t="n">
        <v>1006575</v>
      </c>
      <c r="B285" s="2" t="s">
        <v>73</v>
      </c>
      <c r="C285" s="2" t="s">
        <v>74</v>
      </c>
      <c r="D285" s="2" t="n">
        <v>2015</v>
      </c>
      <c r="E285" s="2" t="s">
        <v>34</v>
      </c>
      <c r="F285" s="4" t="n">
        <v>471434.814</v>
      </c>
      <c r="G285" s="4" t="n">
        <v>470730.6</v>
      </c>
      <c r="H285" s="4" t="n">
        <v>623.714</v>
      </c>
      <c r="I285" s="4" t="n">
        <v>171087.656</v>
      </c>
      <c r="J285" s="4" t="n">
        <v>299819.4</v>
      </c>
      <c r="K285" s="4" t="n">
        <v>527.758</v>
      </c>
      <c r="L285" s="2" t="s">
        <v>30</v>
      </c>
      <c r="M285" s="2" t="s">
        <v>30</v>
      </c>
    </row>
    <row r="286" customFormat="false" ht="15" hidden="false" customHeight="false" outlineLevel="0" collapsed="false">
      <c r="A286" s="2" t="n">
        <v>1006575</v>
      </c>
      <c r="B286" s="2" t="s">
        <v>73</v>
      </c>
      <c r="C286" s="2" t="s">
        <v>74</v>
      </c>
      <c r="D286" s="2" t="n">
        <v>2016</v>
      </c>
      <c r="E286" s="2" t="s">
        <v>34</v>
      </c>
      <c r="F286" s="4" t="n">
        <v>583951.544</v>
      </c>
      <c r="G286" s="4" t="n">
        <v>582301.8</v>
      </c>
      <c r="H286" s="4" t="n">
        <v>1550.494</v>
      </c>
      <c r="I286" s="4" t="n">
        <v>210741.556</v>
      </c>
      <c r="J286" s="4" t="n">
        <v>371777.8</v>
      </c>
      <c r="K286" s="4" t="n">
        <v>1432.188</v>
      </c>
      <c r="L286" s="2" t="s">
        <v>30</v>
      </c>
      <c r="M286" s="2" t="s">
        <v>30</v>
      </c>
    </row>
    <row r="287" customFormat="false" ht="15" hidden="false" customHeight="false" outlineLevel="0" collapsed="false">
      <c r="A287" s="2" t="n">
        <v>1006575</v>
      </c>
      <c r="B287" s="2" t="s">
        <v>73</v>
      </c>
      <c r="C287" s="2" t="s">
        <v>74</v>
      </c>
      <c r="D287" s="2" t="n">
        <v>2017</v>
      </c>
      <c r="E287" s="2" t="s">
        <v>34</v>
      </c>
      <c r="F287" s="4" t="n">
        <v>576883.012</v>
      </c>
      <c r="G287" s="4" t="n">
        <v>576600.8</v>
      </c>
      <c r="H287" s="4" t="n">
        <v>184.462</v>
      </c>
      <c r="I287" s="4" t="n">
        <v>207593.668</v>
      </c>
      <c r="J287" s="4" t="n">
        <v>369221.4</v>
      </c>
      <c r="K287" s="4" t="n">
        <v>67.944</v>
      </c>
      <c r="L287" s="2" t="s">
        <v>30</v>
      </c>
      <c r="M287" s="2" t="s">
        <v>30</v>
      </c>
    </row>
    <row r="288" customFormat="false" ht="15" hidden="false" customHeight="false" outlineLevel="0" collapsed="false">
      <c r="A288" s="2" t="n">
        <v>1006575</v>
      </c>
      <c r="B288" s="2" t="s">
        <v>73</v>
      </c>
      <c r="C288" s="2" t="s">
        <v>74</v>
      </c>
      <c r="D288" s="2" t="n">
        <v>2018</v>
      </c>
      <c r="E288" s="2" t="s">
        <v>34</v>
      </c>
      <c r="F288" s="4" t="n">
        <v>551842.732</v>
      </c>
      <c r="G288" s="4" t="n">
        <v>551469.9</v>
      </c>
      <c r="H288" s="4" t="n">
        <v>278.332</v>
      </c>
      <c r="I288" s="4" t="n">
        <v>201053.244</v>
      </c>
      <c r="J288" s="4" t="n">
        <v>350623.8</v>
      </c>
      <c r="K288" s="4" t="n">
        <v>165.688</v>
      </c>
      <c r="L288" s="2" t="s">
        <v>30</v>
      </c>
      <c r="M288" s="2" t="s">
        <v>30</v>
      </c>
    </row>
    <row r="289" customFormat="false" ht="15" hidden="false" customHeight="false" outlineLevel="0" collapsed="false">
      <c r="A289" s="2" t="n">
        <v>1006575</v>
      </c>
      <c r="B289" s="2" t="s">
        <v>73</v>
      </c>
      <c r="C289" s="2" t="s">
        <v>74</v>
      </c>
      <c r="D289" s="2" t="n">
        <v>2019</v>
      </c>
      <c r="E289" s="2" t="s">
        <v>34</v>
      </c>
      <c r="F289" s="4" t="n">
        <v>605576.09</v>
      </c>
      <c r="G289" s="4" t="n">
        <v>605332.8</v>
      </c>
      <c r="H289" s="4" t="n">
        <v>143.04</v>
      </c>
      <c r="I289" s="4" t="n">
        <v>212903.948</v>
      </c>
      <c r="J289" s="4" t="n">
        <v>392648.6</v>
      </c>
      <c r="K289" s="4" t="n">
        <v>23.542</v>
      </c>
      <c r="L289" s="2" t="s">
        <v>30</v>
      </c>
      <c r="M289" s="2" t="s">
        <v>30</v>
      </c>
    </row>
    <row r="290" customFormat="false" ht="15" hidden="false" customHeight="false" outlineLevel="0" collapsed="false">
      <c r="A290" s="2" t="n">
        <v>1006575</v>
      </c>
      <c r="B290" s="2" t="s">
        <v>73</v>
      </c>
      <c r="C290" s="2" t="s">
        <v>74</v>
      </c>
      <c r="D290" s="2" t="n">
        <v>2020</v>
      </c>
      <c r="E290" s="2" t="s">
        <v>34</v>
      </c>
      <c r="F290" s="4" t="n">
        <v>599735.396</v>
      </c>
      <c r="G290" s="4" t="n">
        <v>599158</v>
      </c>
      <c r="H290" s="4" t="n">
        <v>477.396</v>
      </c>
      <c r="I290" s="4" t="n">
        <v>212731.1</v>
      </c>
      <c r="J290" s="4" t="n">
        <v>386646.1</v>
      </c>
      <c r="K290" s="4" t="n">
        <v>358.196</v>
      </c>
      <c r="L290" s="2" t="s">
        <v>30</v>
      </c>
      <c r="M290" s="2" t="s">
        <v>30</v>
      </c>
    </row>
    <row r="291" customFormat="false" ht="15" hidden="false" customHeight="false" outlineLevel="0" collapsed="false">
      <c r="A291" s="2" t="n">
        <v>1006575</v>
      </c>
      <c r="B291" s="2" t="s">
        <v>73</v>
      </c>
      <c r="C291" s="2" t="s">
        <v>74</v>
      </c>
      <c r="D291" s="2" t="n">
        <v>2021</v>
      </c>
      <c r="E291" s="2" t="s">
        <v>34</v>
      </c>
      <c r="F291" s="4" t="n">
        <v>547948.336</v>
      </c>
      <c r="G291" s="4" t="n">
        <v>527322.3</v>
      </c>
      <c r="H291" s="4" t="n">
        <v>20534.286</v>
      </c>
      <c r="I291" s="4" t="n">
        <v>194709.316</v>
      </c>
      <c r="J291" s="4" t="n">
        <v>332814.1</v>
      </c>
      <c r="K291" s="4" t="n">
        <v>20424.92</v>
      </c>
      <c r="L291" s="2" t="s">
        <v>30</v>
      </c>
      <c r="M291" s="2" t="s">
        <v>30</v>
      </c>
    </row>
    <row r="292" customFormat="false" ht="15" hidden="false" customHeight="false" outlineLevel="0" collapsed="false">
      <c r="A292" s="2" t="n">
        <v>1006575</v>
      </c>
      <c r="B292" s="2" t="s">
        <v>73</v>
      </c>
      <c r="C292" s="2" t="s">
        <v>74</v>
      </c>
      <c r="D292" s="2" t="n">
        <v>2022</v>
      </c>
      <c r="E292" s="2" t="s">
        <v>34</v>
      </c>
      <c r="F292" s="4" t="n">
        <v>631946.276</v>
      </c>
      <c r="G292" s="4" t="n">
        <v>616094.1</v>
      </c>
      <c r="H292" s="4" t="n">
        <v>15745.426</v>
      </c>
      <c r="I292" s="4" t="n">
        <v>226660.596</v>
      </c>
      <c r="J292" s="4" t="n">
        <v>389667.5</v>
      </c>
      <c r="K292" s="4" t="n">
        <v>15618.18</v>
      </c>
      <c r="L292" s="2" t="s">
        <v>30</v>
      </c>
      <c r="M292" s="2" t="s">
        <v>30</v>
      </c>
    </row>
    <row r="293" customFormat="false" ht="15" hidden="false" customHeight="false" outlineLevel="0" collapsed="false">
      <c r="A293" s="2" t="n">
        <v>1006575</v>
      </c>
      <c r="B293" s="2" t="s">
        <v>73</v>
      </c>
      <c r="C293" s="2" t="s">
        <v>74</v>
      </c>
      <c r="D293" s="2" t="n">
        <v>2023</v>
      </c>
      <c r="E293" s="2" t="s">
        <v>34</v>
      </c>
      <c r="F293" s="4" t="n">
        <v>795150.12</v>
      </c>
      <c r="G293" s="4" t="n">
        <v>601869.6</v>
      </c>
      <c r="H293" s="4" t="n">
        <v>193175.52</v>
      </c>
      <c r="I293" s="4" t="n">
        <v>223101.46</v>
      </c>
      <c r="J293" s="4" t="n">
        <v>378998.3</v>
      </c>
      <c r="K293" s="4" t="n">
        <v>193050.36</v>
      </c>
      <c r="L293" s="2" t="s">
        <v>30</v>
      </c>
      <c r="M293" s="2" t="s">
        <v>30</v>
      </c>
    </row>
    <row r="294" customFormat="false" ht="15" hidden="false" customHeight="false" outlineLevel="0" collapsed="false">
      <c r="A294" s="2" t="n">
        <v>1007046</v>
      </c>
      <c r="B294" s="2" t="s">
        <v>75</v>
      </c>
      <c r="C294" s="2" t="s">
        <v>49</v>
      </c>
      <c r="D294" s="2" t="n">
        <v>2010</v>
      </c>
      <c r="E294" s="2" t="s">
        <v>34</v>
      </c>
      <c r="F294" s="4" t="n">
        <v>768344.512</v>
      </c>
      <c r="G294" s="4" t="n">
        <v>569394.8</v>
      </c>
      <c r="H294" s="4" t="n">
        <v>198838.712</v>
      </c>
      <c r="I294" s="4" t="n">
        <v>235404.012</v>
      </c>
      <c r="J294" s="4" t="n">
        <v>334234.1</v>
      </c>
      <c r="K294" s="4" t="n">
        <v>198706.4</v>
      </c>
      <c r="L294" s="2" t="s">
        <v>30</v>
      </c>
      <c r="M294" s="2" t="s">
        <v>30</v>
      </c>
    </row>
    <row r="295" customFormat="false" ht="15" hidden="false" customHeight="false" outlineLevel="0" collapsed="false">
      <c r="A295" s="2" t="n">
        <v>1007046</v>
      </c>
      <c r="B295" s="2" t="s">
        <v>75</v>
      </c>
      <c r="C295" s="2" t="s">
        <v>49</v>
      </c>
      <c r="D295" s="2" t="n">
        <v>2011</v>
      </c>
      <c r="E295" s="2" t="s">
        <v>34</v>
      </c>
      <c r="F295" s="4" t="n">
        <v>671284.9</v>
      </c>
      <c r="G295" s="4" t="n">
        <v>446556.3</v>
      </c>
      <c r="H295" s="4" t="n">
        <v>224639.85</v>
      </c>
      <c r="I295" s="4" t="n">
        <v>188201.84</v>
      </c>
      <c r="J295" s="4" t="n">
        <v>258549</v>
      </c>
      <c r="K295" s="4" t="n">
        <v>224534.06</v>
      </c>
      <c r="L295" s="2" t="s">
        <v>30</v>
      </c>
      <c r="M295" s="2" t="s">
        <v>30</v>
      </c>
    </row>
    <row r="296" customFormat="false" ht="15" hidden="false" customHeight="false" outlineLevel="0" collapsed="false">
      <c r="A296" s="2" t="n">
        <v>1007046</v>
      </c>
      <c r="B296" s="2" t="s">
        <v>75</v>
      </c>
      <c r="C296" s="2" t="s">
        <v>49</v>
      </c>
      <c r="D296" s="2" t="n">
        <v>2012</v>
      </c>
      <c r="E296" s="2" t="s">
        <v>34</v>
      </c>
      <c r="F296" s="4" t="n">
        <v>930074.372</v>
      </c>
      <c r="G296" s="4" t="n">
        <v>607980.1</v>
      </c>
      <c r="H296" s="4" t="n">
        <v>321978.272</v>
      </c>
      <c r="I296" s="4" t="n">
        <v>246149.972</v>
      </c>
      <c r="J296" s="4" t="n">
        <v>362084.4</v>
      </c>
      <c r="K296" s="4" t="n">
        <v>321840</v>
      </c>
      <c r="L296" s="2" t="s">
        <v>30</v>
      </c>
      <c r="M296" s="2" t="s">
        <v>30</v>
      </c>
    </row>
    <row r="297" customFormat="false" ht="15" hidden="false" customHeight="false" outlineLevel="0" collapsed="false">
      <c r="A297" s="2" t="n">
        <v>1007046</v>
      </c>
      <c r="B297" s="2" t="s">
        <v>75</v>
      </c>
      <c r="C297" s="2" t="s">
        <v>49</v>
      </c>
      <c r="D297" s="2" t="n">
        <v>2013</v>
      </c>
      <c r="E297" s="2" t="s">
        <v>34</v>
      </c>
      <c r="F297" s="4" t="n">
        <v>744302.91</v>
      </c>
      <c r="G297" s="4" t="n">
        <v>547391.5</v>
      </c>
      <c r="H297" s="4" t="n">
        <v>196805.16</v>
      </c>
      <c r="I297" s="4" t="n">
        <v>225670.11</v>
      </c>
      <c r="J297" s="4" t="n">
        <v>321952.8</v>
      </c>
      <c r="K297" s="4" t="n">
        <v>196680</v>
      </c>
      <c r="L297" s="2" t="s">
        <v>30</v>
      </c>
      <c r="M297" s="2" t="s">
        <v>30</v>
      </c>
    </row>
    <row r="298" customFormat="false" ht="15" hidden="false" customHeight="false" outlineLevel="0" collapsed="false">
      <c r="A298" s="2" t="n">
        <v>1007046</v>
      </c>
      <c r="B298" s="2" t="s">
        <v>75</v>
      </c>
      <c r="C298" s="2" t="s">
        <v>49</v>
      </c>
      <c r="D298" s="2" t="n">
        <v>2014</v>
      </c>
      <c r="E298" s="2" t="s">
        <v>34</v>
      </c>
      <c r="F298" s="4" t="n">
        <v>887002.846</v>
      </c>
      <c r="G298" s="4" t="n">
        <v>640393.8</v>
      </c>
      <c r="H298" s="4" t="n">
        <v>246491.296</v>
      </c>
      <c r="I298" s="4" t="n">
        <v>250435.008</v>
      </c>
      <c r="J298" s="4" t="n">
        <v>390216.9</v>
      </c>
      <c r="K298" s="4" t="n">
        <v>246350.938</v>
      </c>
      <c r="L298" s="2" t="s">
        <v>30</v>
      </c>
      <c r="M298" s="2" t="s">
        <v>30</v>
      </c>
    </row>
    <row r="299" customFormat="false" ht="15" hidden="false" customHeight="false" outlineLevel="0" collapsed="false">
      <c r="A299" s="2" t="n">
        <v>1007046</v>
      </c>
      <c r="B299" s="2" t="s">
        <v>75</v>
      </c>
      <c r="C299" s="2" t="s">
        <v>49</v>
      </c>
      <c r="D299" s="2" t="n">
        <v>2015</v>
      </c>
      <c r="E299" s="2" t="s">
        <v>34</v>
      </c>
      <c r="F299" s="4" t="n">
        <v>764138.202</v>
      </c>
      <c r="G299" s="4" t="n">
        <v>561171</v>
      </c>
      <c r="H299" s="4" t="n">
        <v>202863.202</v>
      </c>
      <c r="I299" s="4" t="n">
        <v>221008.568</v>
      </c>
      <c r="J299" s="4" t="n">
        <v>340390.4</v>
      </c>
      <c r="K299" s="4" t="n">
        <v>202739.234</v>
      </c>
      <c r="L299" s="2" t="s">
        <v>30</v>
      </c>
      <c r="M299" s="2" t="s">
        <v>30</v>
      </c>
    </row>
    <row r="300" customFormat="false" ht="15" hidden="false" customHeight="false" outlineLevel="0" collapsed="false">
      <c r="A300" s="2" t="n">
        <v>1007046</v>
      </c>
      <c r="B300" s="2" t="s">
        <v>75</v>
      </c>
      <c r="C300" s="2" t="s">
        <v>49</v>
      </c>
      <c r="D300" s="2" t="n">
        <v>2016</v>
      </c>
      <c r="E300" s="2" t="s">
        <v>34</v>
      </c>
      <c r="F300" s="4" t="n">
        <v>870357.91</v>
      </c>
      <c r="G300" s="4" t="n">
        <v>664800.2</v>
      </c>
      <c r="H300" s="4" t="n">
        <v>205439.71</v>
      </c>
      <c r="I300" s="4" t="n">
        <v>250515.856</v>
      </c>
      <c r="J300" s="4" t="n">
        <v>414543</v>
      </c>
      <c r="K300" s="4" t="n">
        <v>205299.054</v>
      </c>
      <c r="L300" s="2" t="s">
        <v>30</v>
      </c>
      <c r="M300" s="2" t="s">
        <v>30</v>
      </c>
    </row>
    <row r="301" customFormat="false" ht="15" hidden="false" customHeight="false" outlineLevel="0" collapsed="false">
      <c r="A301" s="2" t="n">
        <v>1007046</v>
      </c>
      <c r="B301" s="2" t="s">
        <v>75</v>
      </c>
      <c r="C301" s="2" t="s">
        <v>49</v>
      </c>
      <c r="D301" s="2" t="n">
        <v>2017</v>
      </c>
      <c r="E301" s="2" t="s">
        <v>34</v>
      </c>
      <c r="F301" s="4" t="n">
        <v>894310.904</v>
      </c>
      <c r="G301" s="4" t="n">
        <v>630865.6</v>
      </c>
      <c r="H301" s="4" t="n">
        <v>263334.554</v>
      </c>
      <c r="I301" s="4" t="n">
        <v>235291.764</v>
      </c>
      <c r="J301" s="4" t="n">
        <v>395816.6</v>
      </c>
      <c r="K301" s="4" t="n">
        <v>263202.54</v>
      </c>
      <c r="L301" s="2" t="s">
        <v>30</v>
      </c>
      <c r="M301" s="2" t="s">
        <v>30</v>
      </c>
    </row>
    <row r="302" customFormat="false" ht="15" hidden="false" customHeight="false" outlineLevel="0" collapsed="false">
      <c r="A302" s="2" t="n">
        <v>1007046</v>
      </c>
      <c r="B302" s="2" t="s">
        <v>75</v>
      </c>
      <c r="C302" s="2" t="s">
        <v>49</v>
      </c>
      <c r="D302" s="2" t="n">
        <v>2018</v>
      </c>
      <c r="E302" s="2" t="s">
        <v>34</v>
      </c>
      <c r="F302" s="4" t="n">
        <v>879769.3</v>
      </c>
      <c r="G302" s="4" t="n">
        <v>688696.1</v>
      </c>
      <c r="H302" s="4" t="n">
        <v>190950.95</v>
      </c>
      <c r="I302" s="4" t="n">
        <v>259466.872</v>
      </c>
      <c r="J302" s="4" t="n">
        <v>429497.2</v>
      </c>
      <c r="K302" s="4" t="n">
        <v>190805.228</v>
      </c>
      <c r="L302" s="2" t="s">
        <v>30</v>
      </c>
      <c r="M302" s="2" t="s">
        <v>30</v>
      </c>
    </row>
    <row r="303" customFormat="false" ht="15" hidden="false" customHeight="false" outlineLevel="0" collapsed="false">
      <c r="A303" s="2" t="n">
        <v>1007046</v>
      </c>
      <c r="B303" s="2" t="s">
        <v>75</v>
      </c>
      <c r="C303" s="2" t="s">
        <v>49</v>
      </c>
      <c r="D303" s="2" t="n">
        <v>2019</v>
      </c>
      <c r="E303" s="2" t="s">
        <v>34</v>
      </c>
      <c r="F303" s="4" t="n">
        <v>796042.162</v>
      </c>
      <c r="G303" s="4" t="n">
        <v>584757.3</v>
      </c>
      <c r="H303" s="4" t="n">
        <v>211183.362</v>
      </c>
      <c r="I303" s="4" t="n">
        <v>215575.788</v>
      </c>
      <c r="J303" s="4" t="n">
        <v>369404</v>
      </c>
      <c r="K303" s="4" t="n">
        <v>211062.374</v>
      </c>
      <c r="L303" s="2" t="s">
        <v>30</v>
      </c>
      <c r="M303" s="2" t="s">
        <v>30</v>
      </c>
    </row>
    <row r="304" customFormat="false" ht="15" hidden="false" customHeight="false" outlineLevel="0" collapsed="false">
      <c r="A304" s="2" t="n">
        <v>1007046</v>
      </c>
      <c r="B304" s="2" t="s">
        <v>75</v>
      </c>
      <c r="C304" s="2" t="s">
        <v>49</v>
      </c>
      <c r="D304" s="2" t="n">
        <v>2020</v>
      </c>
      <c r="E304" s="2" t="s">
        <v>34</v>
      </c>
      <c r="F304" s="4" t="n">
        <v>945271.652</v>
      </c>
      <c r="G304" s="4" t="n">
        <v>676385.3</v>
      </c>
      <c r="H304" s="4" t="n">
        <v>268773.352</v>
      </c>
      <c r="I304" s="4" t="n">
        <v>240157.296</v>
      </c>
      <c r="J304" s="4" t="n">
        <v>436475.7</v>
      </c>
      <c r="K304" s="4" t="n">
        <v>268638.656</v>
      </c>
      <c r="L304" s="2" t="s">
        <v>30</v>
      </c>
      <c r="M304" s="2" t="s">
        <v>30</v>
      </c>
    </row>
    <row r="305" customFormat="false" ht="15" hidden="false" customHeight="false" outlineLevel="0" collapsed="false">
      <c r="A305" s="2" t="n">
        <v>1007046</v>
      </c>
      <c r="B305" s="2" t="s">
        <v>75</v>
      </c>
      <c r="C305" s="2" t="s">
        <v>49</v>
      </c>
      <c r="D305" s="2" t="n">
        <v>2021</v>
      </c>
      <c r="E305" s="2" t="s">
        <v>34</v>
      </c>
      <c r="F305" s="4" t="n">
        <v>927687.112</v>
      </c>
      <c r="G305" s="4" t="n">
        <v>656286.1</v>
      </c>
      <c r="H305" s="4" t="n">
        <v>271282.512</v>
      </c>
      <c r="I305" s="4" t="n">
        <v>251666.952</v>
      </c>
      <c r="J305" s="4" t="n">
        <v>404878.9</v>
      </c>
      <c r="K305" s="4" t="n">
        <v>271141.26</v>
      </c>
      <c r="L305" s="2" t="s">
        <v>30</v>
      </c>
      <c r="M305" s="2" t="s">
        <v>30</v>
      </c>
    </row>
    <row r="306" customFormat="false" ht="15" hidden="false" customHeight="false" outlineLevel="0" collapsed="false">
      <c r="A306" s="2" t="n">
        <v>1007046</v>
      </c>
      <c r="B306" s="2" t="s">
        <v>75</v>
      </c>
      <c r="C306" s="2" t="s">
        <v>49</v>
      </c>
      <c r="D306" s="2" t="n">
        <v>2022</v>
      </c>
      <c r="E306" s="2" t="s">
        <v>34</v>
      </c>
      <c r="F306" s="4" t="n">
        <v>895665.846</v>
      </c>
      <c r="G306" s="4" t="n">
        <v>591852</v>
      </c>
      <c r="H306" s="4" t="n">
        <v>303699.846</v>
      </c>
      <c r="I306" s="4" t="n">
        <v>242208.988</v>
      </c>
      <c r="J306" s="4" t="n">
        <v>349892.9</v>
      </c>
      <c r="K306" s="4" t="n">
        <v>303563.958</v>
      </c>
      <c r="L306" s="2" t="s">
        <v>30</v>
      </c>
      <c r="M306" s="2" t="s">
        <v>30</v>
      </c>
    </row>
    <row r="307" customFormat="false" ht="15" hidden="false" customHeight="false" outlineLevel="0" collapsed="false">
      <c r="A307" s="2" t="n">
        <v>1007046</v>
      </c>
      <c r="B307" s="2" t="s">
        <v>75</v>
      </c>
      <c r="C307" s="2" t="s">
        <v>49</v>
      </c>
      <c r="D307" s="2" t="n">
        <v>2023</v>
      </c>
      <c r="E307" s="2" t="s">
        <v>34</v>
      </c>
      <c r="F307" s="4" t="n">
        <v>1025232.728</v>
      </c>
      <c r="G307" s="4" t="n">
        <v>756856.2</v>
      </c>
      <c r="H307" s="4" t="n">
        <v>268240.528</v>
      </c>
      <c r="I307" s="4" t="n">
        <v>288754.712</v>
      </c>
      <c r="J307" s="4" t="n">
        <v>468399.6</v>
      </c>
      <c r="K307" s="4" t="n">
        <v>268078.416</v>
      </c>
      <c r="L307" s="2" t="s">
        <v>30</v>
      </c>
      <c r="M307" s="2" t="s">
        <v>30</v>
      </c>
    </row>
    <row r="308" customFormat="false" ht="15" hidden="false" customHeight="false" outlineLevel="0" collapsed="false">
      <c r="A308" s="2" t="n">
        <v>1007770</v>
      </c>
      <c r="B308" s="2" t="s">
        <v>76</v>
      </c>
      <c r="C308" s="2" t="s">
        <v>77</v>
      </c>
      <c r="D308" s="2" t="n">
        <v>2010</v>
      </c>
      <c r="E308" s="2" t="s">
        <v>34</v>
      </c>
      <c r="F308" s="4" t="n">
        <v>411708.508</v>
      </c>
      <c r="G308" s="4" t="n">
        <v>326047.7</v>
      </c>
      <c r="H308" s="4" t="n">
        <v>85599.308</v>
      </c>
      <c r="I308" s="4" t="n">
        <v>130679.308</v>
      </c>
      <c r="J308" s="4" t="n">
        <v>195503.2</v>
      </c>
      <c r="K308" s="4" t="n">
        <v>85526</v>
      </c>
      <c r="L308" s="2" t="s">
        <v>30</v>
      </c>
      <c r="M308" s="2" t="s">
        <v>30</v>
      </c>
    </row>
    <row r="309" customFormat="false" ht="15" hidden="false" customHeight="false" outlineLevel="0" collapsed="false">
      <c r="A309" s="2" t="n">
        <v>1007770</v>
      </c>
      <c r="B309" s="2" t="s">
        <v>76</v>
      </c>
      <c r="C309" s="2" t="s">
        <v>77</v>
      </c>
      <c r="D309" s="2" t="n">
        <v>2011</v>
      </c>
      <c r="E309" s="2" t="s">
        <v>34</v>
      </c>
      <c r="F309" s="4" t="n">
        <v>439301.064</v>
      </c>
      <c r="G309" s="4" t="n">
        <v>323841.9</v>
      </c>
      <c r="H309" s="4" t="n">
        <v>115398.414</v>
      </c>
      <c r="I309" s="4" t="n">
        <v>128856.364</v>
      </c>
      <c r="J309" s="4" t="n">
        <v>195118.7</v>
      </c>
      <c r="K309" s="4" t="n">
        <v>115326</v>
      </c>
      <c r="L309" s="2" t="s">
        <v>30</v>
      </c>
      <c r="M309" s="2" t="s">
        <v>30</v>
      </c>
    </row>
    <row r="310" customFormat="false" ht="15" hidden="false" customHeight="false" outlineLevel="0" collapsed="false">
      <c r="A310" s="2" t="n">
        <v>1007770</v>
      </c>
      <c r="B310" s="2" t="s">
        <v>76</v>
      </c>
      <c r="C310" s="2" t="s">
        <v>77</v>
      </c>
      <c r="D310" s="2" t="n">
        <v>2012</v>
      </c>
      <c r="E310" s="2" t="s">
        <v>34</v>
      </c>
      <c r="F310" s="4" t="n">
        <v>371037.014</v>
      </c>
      <c r="G310" s="4" t="n">
        <v>284169.5</v>
      </c>
      <c r="H310" s="4" t="n">
        <v>86812.764</v>
      </c>
      <c r="I310" s="4" t="n">
        <v>115707.314</v>
      </c>
      <c r="J310" s="4" t="n">
        <v>168581.9</v>
      </c>
      <c r="K310" s="4" t="n">
        <v>86747.8</v>
      </c>
      <c r="L310" s="2" t="s">
        <v>30</v>
      </c>
      <c r="M310" s="2" t="s">
        <v>30</v>
      </c>
    </row>
    <row r="311" customFormat="false" ht="15" hidden="false" customHeight="false" outlineLevel="0" collapsed="false">
      <c r="A311" s="2" t="n">
        <v>1007770</v>
      </c>
      <c r="B311" s="2" t="s">
        <v>76</v>
      </c>
      <c r="C311" s="2" t="s">
        <v>77</v>
      </c>
      <c r="D311" s="2" t="n">
        <v>2013</v>
      </c>
      <c r="E311" s="2" t="s">
        <v>34</v>
      </c>
      <c r="F311" s="4" t="n">
        <v>309965.732</v>
      </c>
      <c r="G311" s="4" t="n">
        <v>218184</v>
      </c>
      <c r="H311" s="4" t="n">
        <v>91741.982</v>
      </c>
      <c r="I311" s="4" t="n">
        <v>84462.232</v>
      </c>
      <c r="J311" s="4" t="n">
        <v>133808.9</v>
      </c>
      <c r="K311" s="4" t="n">
        <v>91694.6</v>
      </c>
      <c r="L311" s="2" t="s">
        <v>30</v>
      </c>
      <c r="M311" s="2" t="s">
        <v>30</v>
      </c>
    </row>
    <row r="312" customFormat="false" ht="15" hidden="false" customHeight="false" outlineLevel="0" collapsed="false">
      <c r="A312" s="2" t="n">
        <v>1007770</v>
      </c>
      <c r="B312" s="2" t="s">
        <v>76</v>
      </c>
      <c r="C312" s="2" t="s">
        <v>77</v>
      </c>
      <c r="D312" s="2" t="n">
        <v>2014</v>
      </c>
      <c r="E312" s="2" t="s">
        <v>34</v>
      </c>
      <c r="F312" s="4" t="n">
        <v>428799.3</v>
      </c>
      <c r="G312" s="4" t="n">
        <v>257489.7</v>
      </c>
      <c r="H312" s="4" t="n">
        <v>171260.6</v>
      </c>
      <c r="I312" s="4" t="n">
        <v>103746.308</v>
      </c>
      <c r="J312" s="4" t="n">
        <v>153850.8</v>
      </c>
      <c r="K312" s="4" t="n">
        <v>171202.192</v>
      </c>
      <c r="L312" s="2" t="s">
        <v>30</v>
      </c>
      <c r="M312" s="2" t="s">
        <v>30</v>
      </c>
    </row>
    <row r="313" customFormat="false" ht="15" hidden="false" customHeight="false" outlineLevel="0" collapsed="false">
      <c r="A313" s="2" t="n">
        <v>1007770</v>
      </c>
      <c r="B313" s="2" t="s">
        <v>76</v>
      </c>
      <c r="C313" s="2" t="s">
        <v>77</v>
      </c>
      <c r="D313" s="2" t="n">
        <v>2015</v>
      </c>
      <c r="E313" s="2" t="s">
        <v>34</v>
      </c>
      <c r="F313" s="4" t="n">
        <v>441461.314</v>
      </c>
      <c r="G313" s="4" t="n">
        <v>305287</v>
      </c>
      <c r="H313" s="4" t="n">
        <v>136124.314</v>
      </c>
      <c r="I313" s="4" t="n">
        <v>106339.9</v>
      </c>
      <c r="J313" s="4" t="n">
        <v>199056.7</v>
      </c>
      <c r="K313" s="4" t="n">
        <v>136064.714</v>
      </c>
      <c r="L313" s="2" t="s">
        <v>30</v>
      </c>
      <c r="M313" s="2" t="s">
        <v>30</v>
      </c>
    </row>
    <row r="314" customFormat="false" ht="15" hidden="false" customHeight="false" outlineLevel="0" collapsed="false">
      <c r="A314" s="2" t="n">
        <v>1007770</v>
      </c>
      <c r="B314" s="2" t="s">
        <v>76</v>
      </c>
      <c r="C314" s="2" t="s">
        <v>77</v>
      </c>
      <c r="D314" s="2" t="n">
        <v>2016</v>
      </c>
      <c r="E314" s="2" t="s">
        <v>34</v>
      </c>
      <c r="F314" s="4" t="n">
        <v>544441.62</v>
      </c>
      <c r="G314" s="4" t="n">
        <v>302379.6</v>
      </c>
      <c r="H314" s="4" t="n">
        <v>242010.27</v>
      </c>
      <c r="I314" s="4" t="n">
        <v>109608.136</v>
      </c>
      <c r="J314" s="4" t="n">
        <v>192884.9</v>
      </c>
      <c r="K314" s="4" t="n">
        <v>241948.584</v>
      </c>
      <c r="L314" s="2" t="s">
        <v>30</v>
      </c>
      <c r="M314" s="2" t="s">
        <v>30</v>
      </c>
    </row>
    <row r="315" customFormat="false" ht="15" hidden="false" customHeight="false" outlineLevel="0" collapsed="false">
      <c r="A315" s="2" t="n">
        <v>1007770</v>
      </c>
      <c r="B315" s="2" t="s">
        <v>76</v>
      </c>
      <c r="C315" s="2" t="s">
        <v>77</v>
      </c>
      <c r="D315" s="2" t="n">
        <v>2017</v>
      </c>
      <c r="E315" s="2" t="s">
        <v>34</v>
      </c>
      <c r="F315" s="4" t="n">
        <v>479180.972</v>
      </c>
      <c r="G315" s="4" t="n">
        <v>316950.7</v>
      </c>
      <c r="H315" s="4" t="n">
        <v>162175.772</v>
      </c>
      <c r="I315" s="4" t="n">
        <v>115694.564</v>
      </c>
      <c r="J315" s="4" t="n">
        <v>201375.6</v>
      </c>
      <c r="K315" s="4" t="n">
        <v>162110.808</v>
      </c>
      <c r="L315" s="2" t="s">
        <v>30</v>
      </c>
      <c r="M315" s="2" t="s">
        <v>30</v>
      </c>
    </row>
    <row r="316" customFormat="false" ht="15" hidden="false" customHeight="false" outlineLevel="0" collapsed="false">
      <c r="A316" s="2" t="n">
        <v>1007770</v>
      </c>
      <c r="B316" s="2" t="s">
        <v>76</v>
      </c>
      <c r="C316" s="2" t="s">
        <v>77</v>
      </c>
      <c r="D316" s="2" t="n">
        <v>2018</v>
      </c>
      <c r="E316" s="2" t="s">
        <v>34</v>
      </c>
      <c r="F316" s="4" t="n">
        <v>352180.902</v>
      </c>
      <c r="G316" s="4" t="n">
        <v>264141.5</v>
      </c>
      <c r="H316" s="4" t="n">
        <v>87991.652</v>
      </c>
      <c r="I316" s="4" t="n">
        <v>101544.568</v>
      </c>
      <c r="J316" s="4" t="n">
        <v>162701.6</v>
      </c>
      <c r="K316" s="4" t="n">
        <v>87934.734</v>
      </c>
      <c r="L316" s="2" t="s">
        <v>30</v>
      </c>
      <c r="M316" s="2" t="s">
        <v>30</v>
      </c>
    </row>
    <row r="317" customFormat="false" ht="15" hidden="false" customHeight="false" outlineLevel="0" collapsed="false">
      <c r="A317" s="2" t="n">
        <v>1007770</v>
      </c>
      <c r="B317" s="2" t="s">
        <v>76</v>
      </c>
      <c r="C317" s="2" t="s">
        <v>77</v>
      </c>
      <c r="D317" s="2" t="n">
        <v>2019</v>
      </c>
      <c r="E317" s="2" t="s">
        <v>34</v>
      </c>
      <c r="F317" s="4" t="n">
        <v>405718.774</v>
      </c>
      <c r="G317" s="4" t="n">
        <v>303798.8</v>
      </c>
      <c r="H317" s="4" t="n">
        <v>101867.724</v>
      </c>
      <c r="I317" s="4" t="n">
        <v>111307.332</v>
      </c>
      <c r="J317" s="4" t="n">
        <v>192606</v>
      </c>
      <c r="K317" s="4" t="n">
        <v>101805.442</v>
      </c>
      <c r="L317" s="2" t="s">
        <v>30</v>
      </c>
      <c r="M317" s="2" t="s">
        <v>30</v>
      </c>
    </row>
    <row r="318" customFormat="false" ht="15" hidden="false" customHeight="false" outlineLevel="0" collapsed="false">
      <c r="A318" s="2" t="n">
        <v>1007770</v>
      </c>
      <c r="B318" s="2" t="s">
        <v>76</v>
      </c>
      <c r="C318" s="2" t="s">
        <v>77</v>
      </c>
      <c r="D318" s="2" t="n">
        <v>2020</v>
      </c>
      <c r="E318" s="2" t="s">
        <v>34</v>
      </c>
      <c r="F318" s="4" t="n">
        <v>450960.496</v>
      </c>
      <c r="G318" s="4" t="n">
        <v>319108.7</v>
      </c>
      <c r="H318" s="4" t="n">
        <v>131798.546</v>
      </c>
      <c r="I318" s="4" t="n">
        <v>113331.124</v>
      </c>
      <c r="J318" s="4" t="n">
        <v>205894.3</v>
      </c>
      <c r="K318" s="4" t="n">
        <v>131735.072</v>
      </c>
      <c r="L318" s="2" t="s">
        <v>30</v>
      </c>
      <c r="M318" s="2" t="s">
        <v>30</v>
      </c>
    </row>
    <row r="319" customFormat="false" ht="15" hidden="false" customHeight="false" outlineLevel="0" collapsed="false">
      <c r="A319" s="2" t="n">
        <v>1007770</v>
      </c>
      <c r="B319" s="2" t="s">
        <v>76</v>
      </c>
      <c r="C319" s="2" t="s">
        <v>77</v>
      </c>
      <c r="D319" s="2" t="n">
        <v>2021</v>
      </c>
      <c r="E319" s="2" t="s">
        <v>34</v>
      </c>
      <c r="F319" s="4" t="n">
        <v>459227.658</v>
      </c>
      <c r="G319" s="4" t="n">
        <v>279606.8</v>
      </c>
      <c r="H319" s="4" t="n">
        <v>179573.608</v>
      </c>
      <c r="I319" s="4" t="n">
        <v>100470.272</v>
      </c>
      <c r="J319" s="4" t="n">
        <v>179240.1</v>
      </c>
      <c r="K319" s="4" t="n">
        <v>179517.286</v>
      </c>
      <c r="L319" s="2" t="s">
        <v>30</v>
      </c>
      <c r="M319" s="2" t="s">
        <v>30</v>
      </c>
    </row>
    <row r="320" customFormat="false" ht="15" hidden="false" customHeight="false" outlineLevel="0" collapsed="false">
      <c r="A320" s="2" t="n">
        <v>1007770</v>
      </c>
      <c r="B320" s="2" t="s">
        <v>76</v>
      </c>
      <c r="C320" s="2" t="s">
        <v>77</v>
      </c>
      <c r="D320" s="2" t="n">
        <v>2022</v>
      </c>
      <c r="E320" s="2" t="s">
        <v>34</v>
      </c>
      <c r="F320" s="4" t="n">
        <v>492321.604</v>
      </c>
      <c r="G320" s="4" t="n">
        <v>306200.2</v>
      </c>
      <c r="H320" s="4" t="n">
        <v>186063.154</v>
      </c>
      <c r="I320" s="4" t="n">
        <v>123982.284</v>
      </c>
      <c r="J320" s="4" t="n">
        <v>182345.6</v>
      </c>
      <c r="K320" s="4" t="n">
        <v>185993.72</v>
      </c>
      <c r="L320" s="2" t="s">
        <v>30</v>
      </c>
      <c r="M320" s="2" t="s">
        <v>30</v>
      </c>
    </row>
    <row r="321" customFormat="false" ht="15" hidden="false" customHeight="false" outlineLevel="0" collapsed="false">
      <c r="A321" s="2" t="n">
        <v>1007770</v>
      </c>
      <c r="B321" s="2" t="s">
        <v>76</v>
      </c>
      <c r="C321" s="2" t="s">
        <v>77</v>
      </c>
      <c r="D321" s="2" t="n">
        <v>2023</v>
      </c>
      <c r="E321" s="2" t="s">
        <v>34</v>
      </c>
      <c r="F321" s="4" t="n">
        <v>485513.118</v>
      </c>
      <c r="G321" s="4" t="n">
        <v>315293.1</v>
      </c>
      <c r="H321" s="4" t="n">
        <v>170162.768</v>
      </c>
      <c r="I321" s="4" t="n">
        <v>121559.192</v>
      </c>
      <c r="J321" s="4" t="n">
        <v>193859.4</v>
      </c>
      <c r="K321" s="4" t="n">
        <v>170094.526</v>
      </c>
      <c r="L321" s="2" t="s">
        <v>30</v>
      </c>
      <c r="M321" s="2" t="s">
        <v>30</v>
      </c>
    </row>
    <row r="322" customFormat="false" ht="15" hidden="false" customHeight="false" outlineLevel="0" collapsed="false">
      <c r="A322" s="2" t="n">
        <v>1009795</v>
      </c>
      <c r="B322" s="2" t="s">
        <v>78</v>
      </c>
      <c r="C322" s="2" t="s">
        <v>40</v>
      </c>
      <c r="D322" s="2" t="n">
        <v>2010</v>
      </c>
      <c r="E322" s="2" t="s">
        <v>50</v>
      </c>
      <c r="F322" s="4" t="n">
        <v>997252.682</v>
      </c>
      <c r="G322" s="4" t="n">
        <v>996776</v>
      </c>
      <c r="H322" s="4" t="n">
        <v>300.682</v>
      </c>
      <c r="I322" s="4" t="n">
        <v>392345.682</v>
      </c>
      <c r="J322" s="4" t="n">
        <v>604907</v>
      </c>
      <c r="K322" s="4"/>
      <c r="L322" s="2" t="s">
        <v>29</v>
      </c>
      <c r="M322" s="2" t="s">
        <v>29</v>
      </c>
    </row>
    <row r="323" customFormat="false" ht="15" hidden="false" customHeight="false" outlineLevel="0" collapsed="false">
      <c r="A323" s="2" t="n">
        <v>1009795</v>
      </c>
      <c r="B323" s="2" t="s">
        <v>78</v>
      </c>
      <c r="C323" s="2" t="s">
        <v>40</v>
      </c>
      <c r="D323" s="2" t="n">
        <v>2011</v>
      </c>
      <c r="E323" s="2" t="s">
        <v>50</v>
      </c>
      <c r="F323" s="4" t="n">
        <v>366142.036</v>
      </c>
      <c r="G323" s="4" t="n">
        <v>365989</v>
      </c>
      <c r="H323" s="4" t="n">
        <v>84.036</v>
      </c>
      <c r="I323" s="4" t="n">
        <v>144519.036</v>
      </c>
      <c r="J323" s="4" t="n">
        <v>221623</v>
      </c>
      <c r="K323" s="4"/>
      <c r="L323" s="2" t="s">
        <v>29</v>
      </c>
      <c r="M323" s="2" t="s">
        <v>29</v>
      </c>
    </row>
    <row r="324" customFormat="false" ht="15" hidden="false" customHeight="false" outlineLevel="0" collapsed="false">
      <c r="A324" s="2" t="n">
        <v>1009795</v>
      </c>
      <c r="B324" s="2" t="s">
        <v>78</v>
      </c>
      <c r="C324" s="2" t="s">
        <v>40</v>
      </c>
      <c r="D324" s="2" t="n">
        <v>2012</v>
      </c>
      <c r="E324" s="2" t="s">
        <v>50</v>
      </c>
      <c r="F324" s="4" t="n">
        <v>1301933.064</v>
      </c>
      <c r="G324" s="4" t="n">
        <v>1301569</v>
      </c>
      <c r="H324" s="4" t="n">
        <v>199.064</v>
      </c>
      <c r="I324" s="4" t="n">
        <v>348101.064</v>
      </c>
      <c r="J324" s="4" t="n">
        <v>953832</v>
      </c>
      <c r="K324" s="4"/>
      <c r="L324" s="2" t="s">
        <v>29</v>
      </c>
      <c r="M324" s="2" t="s">
        <v>29</v>
      </c>
    </row>
    <row r="325" customFormat="false" ht="15" hidden="false" customHeight="false" outlineLevel="0" collapsed="false">
      <c r="A325" s="2" t="n">
        <v>1009795</v>
      </c>
      <c r="B325" s="2" t="s">
        <v>78</v>
      </c>
      <c r="C325" s="2" t="s">
        <v>40</v>
      </c>
      <c r="D325" s="2" t="n">
        <v>2013</v>
      </c>
      <c r="E325" s="2" t="s">
        <v>50</v>
      </c>
      <c r="F325" s="4" t="n">
        <v>1054087.52</v>
      </c>
      <c r="G325" s="4" t="n">
        <v>1053684</v>
      </c>
      <c r="H325" s="4" t="n">
        <v>220.52</v>
      </c>
      <c r="I325" s="4" t="n">
        <v>386179.52</v>
      </c>
      <c r="J325" s="4" t="n">
        <v>667908</v>
      </c>
      <c r="K325" s="4"/>
      <c r="L325" s="2" t="s">
        <v>29</v>
      </c>
      <c r="M325" s="2" t="s">
        <v>29</v>
      </c>
    </row>
    <row r="326" customFormat="false" ht="15" hidden="false" customHeight="false" outlineLevel="0" collapsed="false">
      <c r="A326" s="2" t="n">
        <v>1009795</v>
      </c>
      <c r="B326" s="2" t="s">
        <v>78</v>
      </c>
      <c r="C326" s="2" t="s">
        <v>40</v>
      </c>
      <c r="D326" s="2" t="n">
        <v>2014</v>
      </c>
      <c r="E326" s="2" t="s">
        <v>50</v>
      </c>
      <c r="F326" s="4" t="n">
        <v>1014127.282</v>
      </c>
      <c r="G326" s="4" t="n">
        <v>1013714.6</v>
      </c>
      <c r="H326" s="4" t="n">
        <v>226.182</v>
      </c>
      <c r="I326" s="4" t="n">
        <v>392756.282</v>
      </c>
      <c r="J326" s="4" t="n">
        <v>621371</v>
      </c>
      <c r="K326" s="4"/>
      <c r="L326" s="2" t="s">
        <v>29</v>
      </c>
      <c r="M326" s="2" t="s">
        <v>29</v>
      </c>
    </row>
    <row r="327" customFormat="false" ht="15" hidden="false" customHeight="false" outlineLevel="0" collapsed="false">
      <c r="A327" s="2" t="n">
        <v>1009795</v>
      </c>
      <c r="B327" s="2" t="s">
        <v>78</v>
      </c>
      <c r="C327" s="2" t="s">
        <v>40</v>
      </c>
      <c r="D327" s="2" t="n">
        <v>2015</v>
      </c>
      <c r="E327" s="2" t="s">
        <v>50</v>
      </c>
      <c r="F327" s="4" t="n">
        <v>1084994.83</v>
      </c>
      <c r="G327" s="4" t="n">
        <v>1084551.2</v>
      </c>
      <c r="H327" s="4" t="n">
        <v>241.38</v>
      </c>
      <c r="I327" s="4" t="n">
        <v>428956.73</v>
      </c>
      <c r="J327" s="4" t="n">
        <v>656038.1</v>
      </c>
      <c r="K327" s="4"/>
      <c r="L327" s="2" t="s">
        <v>29</v>
      </c>
      <c r="M327" s="2" t="s">
        <v>29</v>
      </c>
    </row>
    <row r="328" customFormat="false" ht="15" hidden="false" customHeight="false" outlineLevel="0" collapsed="false">
      <c r="A328" s="2" t="n">
        <v>1009795</v>
      </c>
      <c r="B328" s="2" t="s">
        <v>78</v>
      </c>
      <c r="C328" s="2" t="s">
        <v>40</v>
      </c>
      <c r="D328" s="2" t="n">
        <v>2016</v>
      </c>
      <c r="E328" s="2" t="s">
        <v>50</v>
      </c>
      <c r="F328" s="4" t="n">
        <v>1072387.94</v>
      </c>
      <c r="G328" s="4" t="n">
        <v>1071948.8</v>
      </c>
      <c r="H328" s="4" t="n">
        <v>239.89</v>
      </c>
      <c r="I328" s="4" t="n">
        <v>421237.44</v>
      </c>
      <c r="J328" s="4" t="n">
        <v>651150.5</v>
      </c>
      <c r="K328" s="4"/>
      <c r="L328" s="2" t="s">
        <v>29</v>
      </c>
      <c r="M328" s="2" t="s">
        <v>29</v>
      </c>
    </row>
    <row r="329" customFormat="false" ht="15" hidden="false" customHeight="false" outlineLevel="0" collapsed="false">
      <c r="A329" s="2" t="n">
        <v>1009795</v>
      </c>
      <c r="B329" s="2" t="s">
        <v>78</v>
      </c>
      <c r="C329" s="2" t="s">
        <v>40</v>
      </c>
      <c r="D329" s="2" t="n">
        <v>2017</v>
      </c>
      <c r="E329" s="2" t="s">
        <v>50</v>
      </c>
      <c r="F329" s="4" t="n">
        <v>623505.73</v>
      </c>
      <c r="G329" s="4" t="n">
        <v>623229</v>
      </c>
      <c r="H329" s="4" t="n">
        <v>151.98</v>
      </c>
      <c r="I329" s="4" t="n">
        <v>262500.83</v>
      </c>
      <c r="J329" s="4" t="n">
        <v>361004.9</v>
      </c>
      <c r="K329" s="4"/>
      <c r="L329" s="2" t="s">
        <v>29</v>
      </c>
      <c r="M329" s="2" t="s">
        <v>29</v>
      </c>
    </row>
    <row r="330" customFormat="false" ht="15" hidden="false" customHeight="false" outlineLevel="0" collapsed="false">
      <c r="A330" s="2" t="n">
        <v>1009795</v>
      </c>
      <c r="B330" s="2" t="s">
        <v>78</v>
      </c>
      <c r="C330" s="2" t="s">
        <v>40</v>
      </c>
      <c r="D330" s="2" t="n">
        <v>2018</v>
      </c>
      <c r="E330" s="2" t="s">
        <v>50</v>
      </c>
      <c r="F330" s="4" t="n">
        <v>851642.394</v>
      </c>
      <c r="G330" s="4" t="n">
        <v>851272.1</v>
      </c>
      <c r="H330" s="4" t="n">
        <v>202.044</v>
      </c>
      <c r="I330" s="4" t="n">
        <v>355809.694</v>
      </c>
      <c r="J330" s="4" t="n">
        <v>495832.7</v>
      </c>
      <c r="K330" s="4"/>
      <c r="L330" s="2" t="s">
        <v>29</v>
      </c>
      <c r="M330" s="2" t="s">
        <v>29</v>
      </c>
    </row>
    <row r="331" customFormat="false" ht="15" hidden="false" customHeight="false" outlineLevel="0" collapsed="false">
      <c r="A331" s="2" t="n">
        <v>1009795</v>
      </c>
      <c r="B331" s="2" t="s">
        <v>78</v>
      </c>
      <c r="C331" s="2" t="s">
        <v>40</v>
      </c>
      <c r="D331" s="2" t="n">
        <v>2019</v>
      </c>
      <c r="E331" s="2" t="s">
        <v>50</v>
      </c>
      <c r="F331" s="4" t="n">
        <v>530870.416</v>
      </c>
      <c r="G331" s="4" t="n">
        <v>530643.9</v>
      </c>
      <c r="H331" s="4" t="n">
        <v>124.266</v>
      </c>
      <c r="I331" s="4" t="n">
        <v>214831.216</v>
      </c>
      <c r="J331" s="4" t="n">
        <v>316039.2</v>
      </c>
      <c r="K331" s="4"/>
      <c r="L331" s="2" t="s">
        <v>29</v>
      </c>
      <c r="M331" s="2" t="s">
        <v>29</v>
      </c>
    </row>
    <row r="332" customFormat="false" ht="15" hidden="false" customHeight="false" outlineLevel="0" collapsed="false">
      <c r="A332" s="2" t="n">
        <v>1009795</v>
      </c>
      <c r="B332" s="2" t="s">
        <v>78</v>
      </c>
      <c r="C332" s="2" t="s">
        <v>40</v>
      </c>
      <c r="D332" s="2" t="n">
        <v>2020</v>
      </c>
      <c r="E332" s="2" t="s">
        <v>50</v>
      </c>
      <c r="F332" s="4" t="n">
        <v>712677.368</v>
      </c>
      <c r="G332" s="4" t="n">
        <v>712368.7</v>
      </c>
      <c r="H332" s="4" t="n">
        <v>168.668</v>
      </c>
      <c r="I332" s="4" t="n">
        <v>295590.368</v>
      </c>
      <c r="J332" s="4" t="n">
        <v>417087</v>
      </c>
      <c r="K332" s="4"/>
      <c r="L332" s="2" t="s">
        <v>29</v>
      </c>
      <c r="M332" s="2" t="s">
        <v>29</v>
      </c>
    </row>
    <row r="333" customFormat="false" ht="15" hidden="false" customHeight="false" outlineLevel="0" collapsed="false">
      <c r="A333" s="2" t="n">
        <v>1009795</v>
      </c>
      <c r="B333" s="2" t="s">
        <v>78</v>
      </c>
      <c r="C333" s="2" t="s">
        <v>40</v>
      </c>
      <c r="D333" s="2" t="n">
        <v>2021</v>
      </c>
      <c r="E333" s="2" t="s">
        <v>50</v>
      </c>
      <c r="F333" s="4" t="n">
        <v>594024.146</v>
      </c>
      <c r="G333" s="4" t="n">
        <v>593737.1</v>
      </c>
      <c r="H333" s="4" t="n">
        <v>157.046</v>
      </c>
      <c r="I333" s="4" t="n">
        <v>274106.746</v>
      </c>
      <c r="J333" s="4" t="n">
        <v>319917.4</v>
      </c>
      <c r="K333" s="4"/>
      <c r="L333" s="2" t="s">
        <v>29</v>
      </c>
      <c r="M333" s="2" t="s">
        <v>29</v>
      </c>
    </row>
    <row r="334" customFormat="false" ht="15" hidden="false" customHeight="false" outlineLevel="0" collapsed="false">
      <c r="A334" s="2" t="n">
        <v>1009795</v>
      </c>
      <c r="B334" s="2" t="s">
        <v>78</v>
      </c>
      <c r="C334" s="2" t="s">
        <v>40</v>
      </c>
      <c r="D334" s="2" t="n">
        <v>2022</v>
      </c>
      <c r="E334" s="2" t="s">
        <v>50</v>
      </c>
      <c r="F334" s="4" t="n">
        <v>597986.062</v>
      </c>
      <c r="G334" s="4" t="n">
        <v>597703.9</v>
      </c>
      <c r="H334" s="4" t="n">
        <v>154.662</v>
      </c>
      <c r="I334" s="4" t="n">
        <v>268445.862</v>
      </c>
      <c r="J334" s="4" t="n">
        <v>329540.2</v>
      </c>
      <c r="K334" s="4"/>
      <c r="L334" s="2" t="s">
        <v>29</v>
      </c>
      <c r="M334" s="2" t="s">
        <v>29</v>
      </c>
    </row>
    <row r="335" customFormat="false" ht="15" hidden="false" customHeight="false" outlineLevel="0" collapsed="false">
      <c r="A335" s="2" t="n">
        <v>1009795</v>
      </c>
      <c r="B335" s="2" t="s">
        <v>78</v>
      </c>
      <c r="C335" s="2" t="s">
        <v>40</v>
      </c>
      <c r="D335" s="2" t="n">
        <v>2023</v>
      </c>
      <c r="E335" s="2" t="s">
        <v>50</v>
      </c>
      <c r="F335" s="4" t="n">
        <v>813068.506</v>
      </c>
      <c r="G335" s="4" t="n">
        <v>812691.8</v>
      </c>
      <c r="H335" s="4" t="n">
        <v>207.706</v>
      </c>
      <c r="I335" s="4" t="n">
        <v>353749.806</v>
      </c>
      <c r="J335" s="4" t="n">
        <v>459318.7</v>
      </c>
      <c r="K335" s="4"/>
      <c r="L335" s="2" t="s">
        <v>29</v>
      </c>
      <c r="M335" s="2" t="s">
        <v>29</v>
      </c>
    </row>
    <row r="336" customFormat="false" ht="15" hidden="false" customHeight="false" outlineLevel="0" collapsed="false">
      <c r="A336" s="2" t="n">
        <v>1012698</v>
      </c>
      <c r="B336" s="2" t="s">
        <v>79</v>
      </c>
      <c r="C336" s="2" t="s">
        <v>40</v>
      </c>
      <c r="D336" s="2" t="n">
        <v>2016</v>
      </c>
      <c r="E336" s="2" t="s">
        <v>28</v>
      </c>
      <c r="F336" s="4" t="n">
        <v>450982.628</v>
      </c>
      <c r="G336" s="4" t="n">
        <v>450880.7</v>
      </c>
      <c r="H336" s="4" t="n">
        <v>55.428</v>
      </c>
      <c r="I336" s="4" t="n">
        <v>98891.228</v>
      </c>
      <c r="J336" s="4" t="n">
        <v>352091.4</v>
      </c>
      <c r="K336" s="4"/>
      <c r="L336" s="2" t="s">
        <v>29</v>
      </c>
      <c r="M336" s="2" t="s">
        <v>30</v>
      </c>
    </row>
    <row r="337" customFormat="false" ht="15" hidden="false" customHeight="false" outlineLevel="0" collapsed="false">
      <c r="A337" s="2" t="n">
        <v>1012698</v>
      </c>
      <c r="B337" s="2" t="s">
        <v>79</v>
      </c>
      <c r="C337" s="2" t="s">
        <v>40</v>
      </c>
      <c r="D337" s="2" t="n">
        <v>2017</v>
      </c>
      <c r="E337" s="2" t="s">
        <v>28</v>
      </c>
      <c r="F337" s="4" t="n">
        <v>982061.388</v>
      </c>
      <c r="G337" s="4" t="n">
        <v>981852.6</v>
      </c>
      <c r="H337" s="4" t="n">
        <v>113.538</v>
      </c>
      <c r="I337" s="4" t="n">
        <v>202251.788</v>
      </c>
      <c r="J337" s="4" t="n">
        <v>779809.6</v>
      </c>
      <c r="K337" s="4"/>
      <c r="L337" s="2" t="s">
        <v>29</v>
      </c>
      <c r="M337" s="2" t="s">
        <v>30</v>
      </c>
    </row>
    <row r="338" customFormat="false" ht="15" hidden="false" customHeight="false" outlineLevel="0" collapsed="false">
      <c r="A338" s="2" t="n">
        <v>1012698</v>
      </c>
      <c r="B338" s="2" t="s">
        <v>80</v>
      </c>
      <c r="C338" s="2" t="s">
        <v>40</v>
      </c>
      <c r="D338" s="2" t="n">
        <v>2018</v>
      </c>
      <c r="E338" s="2" t="s">
        <v>28</v>
      </c>
      <c r="F338" s="4" t="n">
        <v>913060.58</v>
      </c>
      <c r="G338" s="4" t="n">
        <v>912808.5</v>
      </c>
      <c r="H338" s="4" t="n">
        <v>137.08</v>
      </c>
      <c r="I338" s="4" t="n">
        <v>244523.58</v>
      </c>
      <c r="J338" s="4" t="n">
        <v>668537</v>
      </c>
      <c r="K338" s="4"/>
      <c r="L338" s="2" t="s">
        <v>29</v>
      </c>
      <c r="M338" s="2" t="s">
        <v>30</v>
      </c>
    </row>
    <row r="339" customFormat="false" ht="15" hidden="false" customHeight="false" outlineLevel="0" collapsed="false">
      <c r="A339" s="2" t="n">
        <v>1012698</v>
      </c>
      <c r="B339" s="2" t="s">
        <v>80</v>
      </c>
      <c r="C339" s="2" t="s">
        <v>40</v>
      </c>
      <c r="D339" s="2" t="n">
        <v>2019</v>
      </c>
      <c r="E339" s="2" t="s">
        <v>28</v>
      </c>
      <c r="F339" s="4" t="n">
        <v>918956.752</v>
      </c>
      <c r="G339" s="4" t="n">
        <v>918751.8</v>
      </c>
      <c r="H339" s="4" t="n">
        <v>111.452</v>
      </c>
      <c r="I339" s="4" t="n">
        <v>198763.152</v>
      </c>
      <c r="J339" s="4" t="n">
        <v>720193.6</v>
      </c>
      <c r="K339" s="4"/>
      <c r="L339" s="2" t="s">
        <v>29</v>
      </c>
      <c r="M339" s="2" t="s">
        <v>30</v>
      </c>
    </row>
    <row r="340" customFormat="false" ht="15" hidden="false" customHeight="false" outlineLevel="0" collapsed="false">
      <c r="A340" s="2" t="n">
        <v>1012698</v>
      </c>
      <c r="B340" s="2" t="s">
        <v>80</v>
      </c>
      <c r="C340" s="2" t="s">
        <v>40</v>
      </c>
      <c r="D340" s="2" t="n">
        <v>2020</v>
      </c>
      <c r="E340" s="2" t="s">
        <v>28</v>
      </c>
      <c r="F340" s="4" t="n">
        <v>1018230.484</v>
      </c>
      <c r="G340" s="4" t="n">
        <v>1017993.2</v>
      </c>
      <c r="H340" s="4" t="n">
        <v>129.034</v>
      </c>
      <c r="I340" s="4" t="n">
        <v>229958.784</v>
      </c>
      <c r="J340" s="4" t="n">
        <v>788271.7</v>
      </c>
      <c r="K340" s="4"/>
      <c r="L340" s="2" t="s">
        <v>29</v>
      </c>
      <c r="M340" s="2" t="s">
        <v>30</v>
      </c>
    </row>
    <row r="341" customFormat="false" ht="15" hidden="false" customHeight="false" outlineLevel="0" collapsed="false">
      <c r="A341" s="2" t="n">
        <v>1012698</v>
      </c>
      <c r="B341" s="2" t="s">
        <v>80</v>
      </c>
      <c r="C341" s="2" t="s">
        <v>40</v>
      </c>
      <c r="D341" s="2" t="n">
        <v>2021</v>
      </c>
      <c r="E341" s="2" t="s">
        <v>28</v>
      </c>
      <c r="F341" s="4" t="n">
        <v>994102.932</v>
      </c>
      <c r="G341" s="4" t="n">
        <v>993851.4</v>
      </c>
      <c r="H341" s="4" t="n">
        <v>136.782</v>
      </c>
      <c r="I341" s="4" t="n">
        <v>243966.732</v>
      </c>
      <c r="J341" s="4" t="n">
        <v>750136.2</v>
      </c>
      <c r="K341" s="4"/>
      <c r="L341" s="2" t="s">
        <v>29</v>
      </c>
      <c r="M341" s="2" t="s">
        <v>30</v>
      </c>
    </row>
    <row r="342" customFormat="false" ht="15" hidden="false" customHeight="false" outlineLevel="0" collapsed="false">
      <c r="A342" s="2" t="n">
        <v>1012698</v>
      </c>
      <c r="B342" s="2" t="s">
        <v>80</v>
      </c>
      <c r="C342" s="2" t="s">
        <v>40</v>
      </c>
      <c r="D342" s="2" t="n">
        <v>2022</v>
      </c>
      <c r="E342" s="2" t="s">
        <v>28</v>
      </c>
      <c r="F342" s="4" t="n">
        <v>909765.04</v>
      </c>
      <c r="G342" s="4" t="n">
        <v>909570.5</v>
      </c>
      <c r="H342" s="4" t="n">
        <v>105.79</v>
      </c>
      <c r="I342" s="4" t="n">
        <v>188504.74</v>
      </c>
      <c r="J342" s="4" t="n">
        <v>721260.3</v>
      </c>
      <c r="K342" s="4"/>
      <c r="L342" s="2" t="s">
        <v>29</v>
      </c>
      <c r="M342" s="2" t="s">
        <v>30</v>
      </c>
    </row>
    <row r="343" customFormat="false" ht="15" hidden="false" customHeight="false" outlineLevel="0" collapsed="false">
      <c r="A343" s="2" t="n">
        <v>1012698</v>
      </c>
      <c r="B343" s="2" t="s">
        <v>80</v>
      </c>
      <c r="C343" s="2" t="s">
        <v>40</v>
      </c>
      <c r="D343" s="2" t="n">
        <v>2023</v>
      </c>
      <c r="E343" s="2" t="s">
        <v>28</v>
      </c>
      <c r="F343" s="4" t="n">
        <v>933843.012</v>
      </c>
      <c r="G343" s="4" t="n">
        <v>933627.1</v>
      </c>
      <c r="H343" s="4" t="n">
        <v>117.412</v>
      </c>
      <c r="I343" s="4" t="n">
        <v>209236.512</v>
      </c>
      <c r="J343" s="4" t="n">
        <v>724606.5</v>
      </c>
      <c r="K343" s="4"/>
      <c r="L343" s="2" t="s">
        <v>29</v>
      </c>
      <c r="M343" s="2" t="s">
        <v>30</v>
      </c>
    </row>
    <row r="344" customFormat="false" ht="15" hidden="false" customHeight="false" outlineLevel="0" collapsed="false">
      <c r="A344" s="2" t="n">
        <v>1012789</v>
      </c>
      <c r="B344" s="2" t="s">
        <v>81</v>
      </c>
      <c r="C344" s="2" t="s">
        <v>82</v>
      </c>
      <c r="D344" s="2" t="n">
        <v>2016</v>
      </c>
      <c r="E344" s="2" t="s">
        <v>33</v>
      </c>
      <c r="F344" s="4" t="n">
        <v>27006.604</v>
      </c>
      <c r="G344" s="4" t="n">
        <v>26017.3</v>
      </c>
      <c r="H344" s="4" t="n">
        <v>982.804</v>
      </c>
      <c r="I344" s="4" t="n">
        <v>13607.448</v>
      </c>
      <c r="J344" s="4" t="n">
        <v>12424.1</v>
      </c>
      <c r="K344" s="4" t="n">
        <v>975.056</v>
      </c>
      <c r="L344" s="2" t="s">
        <v>29</v>
      </c>
      <c r="M344" s="2" t="s">
        <v>29</v>
      </c>
    </row>
    <row r="345" customFormat="false" ht="15" hidden="false" customHeight="false" outlineLevel="0" collapsed="false">
      <c r="A345" s="2" t="n">
        <v>1012789</v>
      </c>
      <c r="B345" s="2" t="s">
        <v>81</v>
      </c>
      <c r="C345" s="2" t="s">
        <v>82</v>
      </c>
      <c r="D345" s="2" t="n">
        <v>2017</v>
      </c>
      <c r="E345" s="2" t="s">
        <v>34</v>
      </c>
      <c r="F345" s="4" t="n">
        <v>104533.826</v>
      </c>
      <c r="G345" s="4" t="n">
        <v>104418.6</v>
      </c>
      <c r="H345" s="4" t="n">
        <v>92.976</v>
      </c>
      <c r="I345" s="4" t="n">
        <v>46959.072</v>
      </c>
      <c r="J345" s="4" t="n">
        <v>57508.3</v>
      </c>
      <c r="K345" s="4" t="n">
        <v>66.454</v>
      </c>
      <c r="L345" s="2" t="s">
        <v>29</v>
      </c>
      <c r="M345" s="2" t="s">
        <v>30</v>
      </c>
    </row>
    <row r="346" customFormat="false" ht="15" hidden="false" customHeight="false" outlineLevel="0" collapsed="false">
      <c r="A346" s="2" t="n">
        <v>1012789</v>
      </c>
      <c r="B346" s="2" t="s">
        <v>81</v>
      </c>
      <c r="C346" s="2" t="s">
        <v>82</v>
      </c>
      <c r="D346" s="2" t="n">
        <v>2018</v>
      </c>
      <c r="E346" s="2" t="s">
        <v>34</v>
      </c>
      <c r="F346" s="4" t="n">
        <v>114257.024</v>
      </c>
      <c r="G346" s="4" t="n">
        <v>112672.6</v>
      </c>
      <c r="H346" s="4" t="n">
        <v>1560.924</v>
      </c>
      <c r="I346" s="4" t="n">
        <v>50036.312</v>
      </c>
      <c r="J346" s="4" t="n">
        <v>62687.8</v>
      </c>
      <c r="K346" s="4" t="n">
        <v>1532.912</v>
      </c>
      <c r="L346" s="2" t="s">
        <v>29</v>
      </c>
      <c r="M346" s="2" t="s">
        <v>30</v>
      </c>
    </row>
    <row r="347" customFormat="false" ht="15" hidden="false" customHeight="false" outlineLevel="0" collapsed="false">
      <c r="A347" s="2" t="n">
        <v>1012789</v>
      </c>
      <c r="B347" s="2" t="s">
        <v>81</v>
      </c>
      <c r="C347" s="2" t="s">
        <v>82</v>
      </c>
      <c r="D347" s="2" t="n">
        <v>2019</v>
      </c>
      <c r="E347" s="2" t="s">
        <v>34</v>
      </c>
      <c r="F347" s="4" t="n">
        <v>120521.192</v>
      </c>
      <c r="G347" s="4" t="n">
        <v>120425.7</v>
      </c>
      <c r="H347" s="4" t="n">
        <v>68.242</v>
      </c>
      <c r="I347" s="4" t="n">
        <v>57902.532</v>
      </c>
      <c r="J347" s="4" t="n">
        <v>62582.9</v>
      </c>
      <c r="K347" s="4" t="n">
        <v>35.76</v>
      </c>
      <c r="L347" s="2" t="s">
        <v>29</v>
      </c>
      <c r="M347" s="2" t="s">
        <v>30</v>
      </c>
    </row>
    <row r="348" customFormat="false" ht="15" hidden="false" customHeight="false" outlineLevel="0" collapsed="false">
      <c r="A348" s="2" t="n">
        <v>1012789</v>
      </c>
      <c r="B348" s="2" t="s">
        <v>81</v>
      </c>
      <c r="C348" s="2" t="s">
        <v>82</v>
      </c>
      <c r="D348" s="2" t="n">
        <v>2020</v>
      </c>
      <c r="E348" s="2" t="s">
        <v>34</v>
      </c>
      <c r="F348" s="4" t="n">
        <v>123209.532</v>
      </c>
      <c r="G348" s="4" t="n">
        <v>120535.6</v>
      </c>
      <c r="H348" s="4" t="n">
        <v>2647.432</v>
      </c>
      <c r="I348" s="4" t="n">
        <v>56030.088</v>
      </c>
      <c r="J348" s="4" t="n">
        <v>64563.6</v>
      </c>
      <c r="K348" s="4" t="n">
        <v>2615.844</v>
      </c>
      <c r="L348" s="2" t="s">
        <v>29</v>
      </c>
      <c r="M348" s="2" t="s">
        <v>30</v>
      </c>
    </row>
    <row r="349" customFormat="false" ht="15" hidden="false" customHeight="false" outlineLevel="0" collapsed="false">
      <c r="A349" s="2" t="n">
        <v>1012789</v>
      </c>
      <c r="B349" s="2" t="s">
        <v>81</v>
      </c>
      <c r="C349" s="2" t="s">
        <v>82</v>
      </c>
      <c r="D349" s="2" t="n">
        <v>2021</v>
      </c>
      <c r="E349" s="2" t="s">
        <v>34</v>
      </c>
      <c r="F349" s="4" t="n">
        <v>135127.214</v>
      </c>
      <c r="G349" s="4" t="n">
        <v>134666.7</v>
      </c>
      <c r="H349" s="4" t="n">
        <v>430.014</v>
      </c>
      <c r="I349" s="4" t="n">
        <v>64403.256</v>
      </c>
      <c r="J349" s="4" t="n">
        <v>70330.3</v>
      </c>
      <c r="K349" s="4" t="n">
        <v>393.658</v>
      </c>
      <c r="L349" s="2" t="s">
        <v>29</v>
      </c>
      <c r="M349" s="2" t="s">
        <v>30</v>
      </c>
    </row>
    <row r="350" customFormat="false" ht="15" hidden="false" customHeight="false" outlineLevel="0" collapsed="false">
      <c r="A350" s="2" t="n">
        <v>1012789</v>
      </c>
      <c r="B350" s="2" t="s">
        <v>81</v>
      </c>
      <c r="C350" s="2" t="s">
        <v>82</v>
      </c>
      <c r="D350" s="2" t="n">
        <v>2022</v>
      </c>
      <c r="E350" s="2" t="s">
        <v>34</v>
      </c>
      <c r="F350" s="4" t="n">
        <v>140753.36</v>
      </c>
      <c r="G350" s="4" t="n">
        <v>124075.1</v>
      </c>
      <c r="H350" s="4" t="n">
        <v>16649.26</v>
      </c>
      <c r="I350" s="4" t="n">
        <v>61329.568</v>
      </c>
      <c r="J350" s="4" t="n">
        <v>62809.1</v>
      </c>
      <c r="K350" s="4" t="n">
        <v>16614.692</v>
      </c>
      <c r="L350" s="2" t="s">
        <v>29</v>
      </c>
      <c r="M350" s="2" t="s">
        <v>30</v>
      </c>
    </row>
    <row r="351" customFormat="false" ht="15" hidden="false" customHeight="false" outlineLevel="0" collapsed="false">
      <c r="A351" s="2" t="n">
        <v>1012789</v>
      </c>
      <c r="B351" s="2" t="s">
        <v>81</v>
      </c>
      <c r="C351" s="2" t="s">
        <v>82</v>
      </c>
      <c r="D351" s="2" t="n">
        <v>2023</v>
      </c>
      <c r="E351" s="2" t="s">
        <v>34</v>
      </c>
      <c r="F351" s="4" t="n">
        <v>125931.664</v>
      </c>
      <c r="G351" s="4" t="n">
        <v>106233.3</v>
      </c>
      <c r="H351" s="4" t="n">
        <v>19673.364</v>
      </c>
      <c r="I351" s="4" t="n">
        <v>53228</v>
      </c>
      <c r="J351" s="4" t="n">
        <v>53060.1</v>
      </c>
      <c r="K351" s="4" t="n">
        <v>19643.564</v>
      </c>
      <c r="L351" s="2" t="s">
        <v>29</v>
      </c>
      <c r="M351" s="2" t="s">
        <v>30</v>
      </c>
    </row>
    <row r="352" customFormat="false" ht="15" hidden="false" customHeight="false" outlineLevel="0" collapsed="false">
      <c r="A352" s="2" t="n">
        <v>1012918</v>
      </c>
      <c r="B352" s="2" t="s">
        <v>83</v>
      </c>
      <c r="C352" s="2" t="s">
        <v>49</v>
      </c>
      <c r="D352" s="2" t="n">
        <v>2017</v>
      </c>
      <c r="E352" s="2" t="s">
        <v>33</v>
      </c>
      <c r="F352" s="4" t="n">
        <v>1040649.394</v>
      </c>
      <c r="G352" s="4" t="n">
        <v>1040008.5</v>
      </c>
      <c r="H352" s="4" t="n">
        <v>447.894</v>
      </c>
      <c r="I352" s="4" t="n">
        <v>409780.556</v>
      </c>
      <c r="J352" s="4" t="n">
        <v>630651</v>
      </c>
      <c r="K352" s="4" t="n">
        <v>217.838</v>
      </c>
      <c r="L352" s="2" t="s">
        <v>30</v>
      </c>
      <c r="M352" s="2" t="s">
        <v>29</v>
      </c>
    </row>
    <row r="353" customFormat="false" ht="15" hidden="false" customHeight="false" outlineLevel="0" collapsed="false">
      <c r="A353" s="2" t="n">
        <v>1012918</v>
      </c>
      <c r="B353" s="2" t="s">
        <v>83</v>
      </c>
      <c r="C353" s="2" t="s">
        <v>49</v>
      </c>
      <c r="D353" s="2" t="n">
        <v>2018</v>
      </c>
      <c r="E353" s="2" t="s">
        <v>33</v>
      </c>
      <c r="F353" s="4" t="n">
        <v>1684329.35</v>
      </c>
      <c r="G353" s="4" t="n">
        <v>1683195.8</v>
      </c>
      <c r="H353" s="4" t="n">
        <v>886.55</v>
      </c>
      <c r="I353" s="4" t="n">
        <v>525211.824</v>
      </c>
      <c r="J353" s="4" t="n">
        <v>1158525.4</v>
      </c>
      <c r="K353" s="4" t="n">
        <v>592.126</v>
      </c>
      <c r="L353" s="2" t="s">
        <v>30</v>
      </c>
      <c r="M353" s="2" t="s">
        <v>29</v>
      </c>
    </row>
    <row r="354" customFormat="false" ht="15" hidden="false" customHeight="false" outlineLevel="0" collapsed="false">
      <c r="A354" s="2" t="n">
        <v>1012918</v>
      </c>
      <c r="B354" s="2" t="s">
        <v>83</v>
      </c>
      <c r="C354" s="2" t="s">
        <v>49</v>
      </c>
      <c r="D354" s="2" t="n">
        <v>2019</v>
      </c>
      <c r="E354" s="2" t="s">
        <v>33</v>
      </c>
      <c r="F354" s="4" t="n">
        <v>1706459.942</v>
      </c>
      <c r="G354" s="4" t="n">
        <v>1705331.6</v>
      </c>
      <c r="H354" s="4" t="n">
        <v>872.842</v>
      </c>
      <c r="I354" s="4" t="n">
        <v>542571.856</v>
      </c>
      <c r="J354" s="4" t="n">
        <v>1163319.8</v>
      </c>
      <c r="K354" s="4" t="n">
        <v>568.286</v>
      </c>
      <c r="L354" s="2" t="s">
        <v>30</v>
      </c>
      <c r="M354" s="2" t="s">
        <v>29</v>
      </c>
    </row>
    <row r="355" customFormat="false" ht="15" hidden="false" customHeight="false" outlineLevel="0" collapsed="false">
      <c r="A355" s="2" t="n">
        <v>1012918</v>
      </c>
      <c r="B355" s="2" t="s">
        <v>83</v>
      </c>
      <c r="C355" s="2" t="s">
        <v>49</v>
      </c>
      <c r="D355" s="2" t="n">
        <v>2020</v>
      </c>
      <c r="E355" s="2" t="s">
        <v>33</v>
      </c>
      <c r="F355" s="4" t="n">
        <v>1866658.66</v>
      </c>
      <c r="G355" s="4" t="n">
        <v>1865463.6</v>
      </c>
      <c r="H355" s="4" t="n">
        <v>922.31</v>
      </c>
      <c r="I355" s="4" t="n">
        <v>579501.968</v>
      </c>
      <c r="J355" s="4" t="n">
        <v>1286559.5</v>
      </c>
      <c r="K355" s="4" t="n">
        <v>597.192</v>
      </c>
      <c r="L355" s="2" t="s">
        <v>30</v>
      </c>
      <c r="M355" s="2" t="s">
        <v>29</v>
      </c>
    </row>
    <row r="356" customFormat="false" ht="15" hidden="false" customHeight="false" outlineLevel="0" collapsed="false">
      <c r="A356" s="2" t="n">
        <v>1012918</v>
      </c>
      <c r="B356" s="2" t="s">
        <v>83</v>
      </c>
      <c r="C356" s="2" t="s">
        <v>49</v>
      </c>
      <c r="D356" s="2" t="n">
        <v>2021</v>
      </c>
      <c r="E356" s="2" t="s">
        <v>33</v>
      </c>
      <c r="F356" s="4" t="n">
        <v>1473227.592</v>
      </c>
      <c r="G356" s="4" t="n">
        <v>1472293.2</v>
      </c>
      <c r="H356" s="4" t="n">
        <v>716.392</v>
      </c>
      <c r="I356" s="4" t="n">
        <v>462913.156</v>
      </c>
      <c r="J356" s="4" t="n">
        <v>1009857.9</v>
      </c>
      <c r="K356" s="4" t="n">
        <v>456.536</v>
      </c>
      <c r="L356" s="2" t="s">
        <v>30</v>
      </c>
      <c r="M356" s="2" t="s">
        <v>29</v>
      </c>
    </row>
    <row r="357" customFormat="false" ht="15" hidden="false" customHeight="false" outlineLevel="0" collapsed="false">
      <c r="A357" s="2" t="n">
        <v>1012918</v>
      </c>
      <c r="B357" s="2" t="s">
        <v>83</v>
      </c>
      <c r="C357" s="2" t="s">
        <v>49</v>
      </c>
      <c r="D357" s="2" t="n">
        <v>2022</v>
      </c>
      <c r="E357" s="2" t="s">
        <v>33</v>
      </c>
      <c r="F357" s="4" t="n">
        <v>1593662.962</v>
      </c>
      <c r="G357" s="4" t="n">
        <v>1592712.4</v>
      </c>
      <c r="H357" s="4" t="n">
        <v>765.562</v>
      </c>
      <c r="I357" s="4" t="n">
        <v>393584.32</v>
      </c>
      <c r="J357" s="4" t="n">
        <v>1199533.6</v>
      </c>
      <c r="K357" s="4" t="n">
        <v>545.042</v>
      </c>
      <c r="L357" s="2" t="s">
        <v>30</v>
      </c>
      <c r="M357" s="2" t="s">
        <v>29</v>
      </c>
    </row>
    <row r="358" customFormat="false" ht="15" hidden="false" customHeight="false" outlineLevel="0" collapsed="false">
      <c r="A358" s="2" t="n">
        <v>1012918</v>
      </c>
      <c r="B358" s="2" t="s">
        <v>83</v>
      </c>
      <c r="C358" s="2" t="s">
        <v>49</v>
      </c>
      <c r="D358" s="2" t="n">
        <v>2023</v>
      </c>
      <c r="E358" s="2" t="s">
        <v>33</v>
      </c>
      <c r="F358" s="4" t="n">
        <v>1350064.716</v>
      </c>
      <c r="G358" s="4" t="n">
        <v>1349388.7</v>
      </c>
      <c r="H358" s="4" t="n">
        <v>534.016</v>
      </c>
      <c r="I358" s="4" t="n">
        <v>301602.264</v>
      </c>
      <c r="J358" s="4" t="n">
        <v>1048097.7</v>
      </c>
      <c r="K358" s="4" t="n">
        <v>364.752</v>
      </c>
      <c r="L358" s="2" t="s">
        <v>30</v>
      </c>
      <c r="M358" s="2" t="s">
        <v>29</v>
      </c>
    </row>
    <row r="359" customFormat="false" ht="15" hidden="false" customHeight="false" outlineLevel="0" collapsed="false">
      <c r="A359" s="2" t="n">
        <v>1013265</v>
      </c>
      <c r="B359" s="2" t="s">
        <v>84</v>
      </c>
      <c r="C359" s="2" t="s">
        <v>74</v>
      </c>
      <c r="D359" s="2" t="n">
        <v>2018</v>
      </c>
      <c r="E359" s="2" t="s">
        <v>50</v>
      </c>
      <c r="F359" s="4" t="n">
        <v>45609.184</v>
      </c>
      <c r="G359" s="4" t="n">
        <v>45591.1</v>
      </c>
      <c r="H359" s="4" t="n">
        <v>9.834</v>
      </c>
      <c r="I359" s="4" t="n">
        <v>17653.184</v>
      </c>
      <c r="J359" s="4" t="n">
        <v>27956</v>
      </c>
      <c r="K359" s="4"/>
      <c r="L359" s="2" t="s">
        <v>29</v>
      </c>
      <c r="M359" s="2" t="s">
        <v>29</v>
      </c>
    </row>
    <row r="360" customFormat="false" ht="15" hidden="false" customHeight="false" outlineLevel="0" collapsed="false">
      <c r="A360" s="2" t="n">
        <v>1013265</v>
      </c>
      <c r="B360" s="2" t="s">
        <v>84</v>
      </c>
      <c r="C360" s="2" t="s">
        <v>74</v>
      </c>
      <c r="D360" s="2" t="n">
        <v>2019</v>
      </c>
      <c r="E360" s="2" t="s">
        <v>50</v>
      </c>
      <c r="F360" s="4" t="n">
        <v>54453.728</v>
      </c>
      <c r="G360" s="4" t="n">
        <v>54434</v>
      </c>
      <c r="H360" s="4" t="n">
        <v>10.728</v>
      </c>
      <c r="I360" s="4" t="n">
        <v>19193.528</v>
      </c>
      <c r="J360" s="4" t="n">
        <v>35260.2</v>
      </c>
      <c r="K360" s="4"/>
      <c r="L360" s="2" t="s">
        <v>29</v>
      </c>
      <c r="M360" s="2" t="s">
        <v>29</v>
      </c>
    </row>
    <row r="361" customFormat="false" ht="15" hidden="false" customHeight="false" outlineLevel="0" collapsed="false">
      <c r="A361" s="2" t="n">
        <v>1013265</v>
      </c>
      <c r="B361" s="2" t="s">
        <v>84</v>
      </c>
      <c r="C361" s="2" t="s">
        <v>74</v>
      </c>
      <c r="D361" s="2" t="n">
        <v>2020</v>
      </c>
      <c r="E361" s="2" t="s">
        <v>50</v>
      </c>
      <c r="F361" s="4" t="n">
        <v>62500.716</v>
      </c>
      <c r="G361" s="4" t="n">
        <v>62477.7</v>
      </c>
      <c r="H361" s="4" t="n">
        <v>12.516</v>
      </c>
      <c r="I361" s="4" t="n">
        <v>22340.216</v>
      </c>
      <c r="J361" s="4" t="n">
        <v>40160.5</v>
      </c>
      <c r="K361" s="4"/>
      <c r="L361" s="2" t="s">
        <v>29</v>
      </c>
      <c r="M361" s="2" t="s">
        <v>29</v>
      </c>
    </row>
    <row r="362" customFormat="false" ht="15" hidden="false" customHeight="false" outlineLevel="0" collapsed="false">
      <c r="A362" s="2" t="n">
        <v>1013265</v>
      </c>
      <c r="B362" s="2" t="s">
        <v>84</v>
      </c>
      <c r="C362" s="2" t="s">
        <v>74</v>
      </c>
      <c r="D362" s="2" t="n">
        <v>2021</v>
      </c>
      <c r="E362" s="2" t="s">
        <v>50</v>
      </c>
      <c r="F362" s="4" t="n">
        <v>61978.216</v>
      </c>
      <c r="G362" s="4" t="n">
        <v>61955.2</v>
      </c>
      <c r="H362" s="4" t="n">
        <v>12.516</v>
      </c>
      <c r="I362" s="4" t="n">
        <v>22320.116</v>
      </c>
      <c r="J362" s="4" t="n">
        <v>39658.1</v>
      </c>
      <c r="K362" s="4"/>
      <c r="L362" s="2" t="s">
        <v>29</v>
      </c>
      <c r="M362" s="2" t="s">
        <v>29</v>
      </c>
    </row>
    <row r="363" customFormat="false" ht="15" hidden="false" customHeight="false" outlineLevel="0" collapsed="false">
      <c r="A363" s="2" t="n">
        <v>1013265</v>
      </c>
      <c r="B363" s="2" t="s">
        <v>84</v>
      </c>
      <c r="C363" s="2" t="s">
        <v>74</v>
      </c>
      <c r="D363" s="2" t="n">
        <v>2022</v>
      </c>
      <c r="E363" s="2" t="s">
        <v>50</v>
      </c>
      <c r="F363" s="4" t="n">
        <v>60712.572</v>
      </c>
      <c r="G363" s="4" t="n">
        <v>60691.2</v>
      </c>
      <c r="H363" s="4" t="n">
        <v>11.622</v>
      </c>
      <c r="I363" s="4" t="n">
        <v>21115.572</v>
      </c>
      <c r="J363" s="4" t="n">
        <v>39597</v>
      </c>
      <c r="K363" s="4"/>
      <c r="L363" s="2" t="s">
        <v>29</v>
      </c>
      <c r="M363" s="2" t="s">
        <v>29</v>
      </c>
    </row>
    <row r="364" customFormat="false" ht="15" hidden="false" customHeight="false" outlineLevel="0" collapsed="false">
      <c r="A364" s="2" t="n">
        <v>1013265</v>
      </c>
      <c r="B364" s="2" t="s">
        <v>84</v>
      </c>
      <c r="C364" s="2" t="s">
        <v>74</v>
      </c>
      <c r="D364" s="2" t="n">
        <v>2023</v>
      </c>
      <c r="E364" s="2" t="s">
        <v>50</v>
      </c>
      <c r="F364" s="4" t="n">
        <v>57632.032</v>
      </c>
      <c r="G364" s="4" t="n">
        <v>57613.4</v>
      </c>
      <c r="H364" s="4" t="n">
        <v>10.132</v>
      </c>
      <c r="I364" s="4" t="n">
        <v>18392.232</v>
      </c>
      <c r="J364" s="4" t="n">
        <v>39239.8</v>
      </c>
      <c r="K364" s="4"/>
      <c r="L364" s="2" t="s">
        <v>29</v>
      </c>
      <c r="M364" s="2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0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24"/>
  </cols>
  <sheetData>
    <row r="1" customFormat="false" ht="15" hidden="false" customHeight="false" outlineLevel="0" collapsed="false">
      <c r="A1" s="3" t="s">
        <v>13</v>
      </c>
      <c r="B1" s="3" t="s">
        <v>14</v>
      </c>
      <c r="C1" s="3" t="s">
        <v>85</v>
      </c>
      <c r="D1" s="3" t="s">
        <v>86</v>
      </c>
      <c r="E1" s="3" t="s">
        <v>87</v>
      </c>
    </row>
    <row r="2" customFormat="false" ht="15" hidden="false" customHeight="false" outlineLevel="0" collapsed="false">
      <c r="A2" s="2" t="n">
        <v>1002301</v>
      </c>
      <c r="B2" s="2" t="s">
        <v>39</v>
      </c>
      <c r="C2" s="4" t="n">
        <v>4862676.5</v>
      </c>
      <c r="D2" s="5" t="n">
        <f aca="false">IFERROR(SUMIFS(EPA_panel!K:K,EPA_panel!A:A,A2,EPA_panel!D:D,2023)/C2,0)</f>
        <v>0.353610848675621</v>
      </c>
      <c r="E2" s="5" t="n">
        <f aca="false">SUMIFS(EPA_panel!I:I,EPA_panel!A:A,A2,EPA_panel!D:D,2023)/C2</f>
        <v>0.594959192123926</v>
      </c>
    </row>
    <row r="3" customFormat="false" ht="15" hidden="false" customHeight="false" outlineLevel="0" collapsed="false">
      <c r="A3" s="2" t="n">
        <v>1006005</v>
      </c>
      <c r="B3" s="2" t="s">
        <v>71</v>
      </c>
      <c r="C3" s="4" t="n">
        <v>1624172.7</v>
      </c>
      <c r="D3" s="5" t="n">
        <f aca="false">IFERROR(SUMIFS(EPA_panel!K:K,EPA_panel!A:A,A3,EPA_panel!D:D,2023)/C3,0)</f>
        <v>0.363800962791703</v>
      </c>
      <c r="E3" s="5" t="n">
        <f aca="false">SUMIFS(EPA_panel!I:I,EPA_panel!A:A,A3,EPA_panel!D:D,2023)/C3</f>
        <v>0.60103722960003</v>
      </c>
    </row>
    <row r="4" customFormat="false" ht="15" hidden="false" customHeight="false" outlineLevel="0" collapsed="false">
      <c r="A4" s="2" t="n">
        <v>1002170</v>
      </c>
      <c r="B4" s="2" t="s">
        <v>31</v>
      </c>
      <c r="C4" s="4" t="n">
        <v>1352802.2</v>
      </c>
      <c r="D4" s="5" t="n">
        <f aca="false">IFERROR(SUMIFS(EPA_panel!K:K,EPA_panel!A:A,A4,EPA_panel!D:D,2023)/C4,0)</f>
        <v>0.177053521941345</v>
      </c>
      <c r="E4" s="5" t="n">
        <f aca="false">SUMIFS(EPA_panel!I:I,EPA_panel!A:A,A4,EPA_panel!D:D,2023)/C4</f>
        <v>0.0359730461703862</v>
      </c>
    </row>
    <row r="5" customFormat="false" ht="15" hidden="false" customHeight="false" outlineLevel="0" collapsed="false">
      <c r="A5" s="2" t="n">
        <v>1002407</v>
      </c>
      <c r="B5" s="2" t="s">
        <v>43</v>
      </c>
      <c r="C5" s="4" t="n">
        <v>1348509.2</v>
      </c>
      <c r="D5" s="5" t="n">
        <f aca="false">IFERROR(SUMIFS(EPA_panel!K:K,EPA_panel!A:A,A5,EPA_panel!D:D,2023)/C5,0)</f>
        <v>0.000106735645555848</v>
      </c>
      <c r="E5" s="5" t="n">
        <f aca="false">SUMIFS(EPA_panel!I:I,EPA_panel!A:A,A5,EPA_panel!D:D,2023)/C5</f>
        <v>0.764776700077389</v>
      </c>
    </row>
    <row r="6" customFormat="false" ht="15" hidden="false" customHeight="false" outlineLevel="0" collapsed="false">
      <c r="A6" s="2" t="n">
        <v>1002275</v>
      </c>
      <c r="B6" s="2" t="s">
        <v>37</v>
      </c>
      <c r="C6" s="4" t="n">
        <v>1176114</v>
      </c>
      <c r="D6" s="5" t="n">
        <f aca="false">IFERROR(SUMIFS(EPA_panel!K:K,EPA_panel!A:A,A6,EPA_panel!D:D,2023)/C6,0)</f>
        <v>1.0602666153111</v>
      </c>
      <c r="E6" s="5" t="n">
        <f aca="false">SUMIFS(EPA_panel!I:I,EPA_panel!A:A,A6,EPA_panel!D:D,2023)/C6</f>
        <v>0.792061051904832</v>
      </c>
    </row>
    <row r="7" customFormat="false" ht="15" hidden="false" customHeight="false" outlineLevel="0" collapsed="false">
      <c r="A7" s="2" t="n">
        <v>1004340</v>
      </c>
      <c r="B7" s="2" t="s">
        <v>60</v>
      </c>
      <c r="C7" s="4" t="n">
        <v>1126460.7</v>
      </c>
      <c r="D7" s="5" t="n">
        <f aca="false">IFERROR(SUMIFS(EPA_panel!K:K,EPA_panel!A:A,A7,EPA_panel!D:D,2023)/C7,0)</f>
        <v>0.0517154517685349</v>
      </c>
      <c r="E7" s="5" t="n">
        <f aca="false">SUMIFS(EPA_panel!I:I,EPA_panel!A:A,A7,EPA_panel!D:D,2023)/C7</f>
        <v>0.339103079228596</v>
      </c>
    </row>
    <row r="8" customFormat="false" ht="15" hidden="false" customHeight="false" outlineLevel="0" collapsed="false">
      <c r="A8" s="2" t="n">
        <v>1012918</v>
      </c>
      <c r="B8" s="2" t="s">
        <v>83</v>
      </c>
      <c r="C8" s="4" t="n">
        <v>1048097.7</v>
      </c>
      <c r="D8" s="5" t="n">
        <f aca="false">IFERROR(SUMIFS(EPA_panel!K:K,EPA_panel!A:A,A8,EPA_panel!D:D,2023)/C8,0)</f>
        <v>0.000348013357915011</v>
      </c>
      <c r="E8" s="5" t="n">
        <f aca="false">SUMIFS(EPA_panel!I:I,EPA_panel!A:A,A8,EPA_panel!D:D,2023)/C8</f>
        <v>0.287761593217884</v>
      </c>
    </row>
    <row r="9" customFormat="false" ht="15" hidden="false" customHeight="false" outlineLevel="0" collapsed="false">
      <c r="A9" s="2" t="n">
        <v>1002229</v>
      </c>
      <c r="B9" s="2" t="s">
        <v>35</v>
      </c>
      <c r="C9" s="4" t="n">
        <v>872546.4</v>
      </c>
      <c r="D9" s="5" t="n">
        <f aca="false">IFERROR(SUMIFS(EPA_panel!K:K,EPA_panel!A:A,A9,EPA_panel!D:D,2023)/C9,0)</f>
        <v>0.000171106086736476</v>
      </c>
      <c r="E9" s="5" t="n">
        <f aca="false">SUMIFS(EPA_panel!I:I,EPA_panel!A:A,A9,EPA_panel!D:D,2023)/C9</f>
        <v>0.570604699073883</v>
      </c>
    </row>
    <row r="10" customFormat="false" ht="15" hidden="false" customHeight="false" outlineLevel="0" collapsed="false">
      <c r="A10" s="2" t="n">
        <v>1004183</v>
      </c>
      <c r="B10" s="2" t="s">
        <v>58</v>
      </c>
      <c r="C10" s="4" t="n">
        <v>708631.5</v>
      </c>
      <c r="D10" s="5" t="n">
        <f aca="false">IFERROR(SUMIFS(EPA_panel!K:K,EPA_panel!A:A,A10,EPA_panel!D:D,2023)/C10,0)</f>
        <v>1.83179808123122</v>
      </c>
      <c r="E10" s="5" t="n">
        <f aca="false">SUMIFS(EPA_panel!I:I,EPA_panel!A:A,A10,EPA_panel!D:D,2023)/C10</f>
        <v>0.602873837812742</v>
      </c>
    </row>
    <row r="11" customFormat="false" ht="15" hidden="false" customHeight="false" outlineLevel="0" collapsed="false">
      <c r="A11" s="2" t="n">
        <v>1003993</v>
      </c>
      <c r="B11" s="2" t="s">
        <v>56</v>
      </c>
      <c r="C11" s="4" t="n">
        <v>521423.3</v>
      </c>
      <c r="D11" s="5" t="n">
        <f aca="false">IFERROR(SUMIFS(EPA_panel!K:K,EPA_panel!A:A,A11,EPA_panel!D:D,2023)/C11,0)</f>
        <v>0.17884344638991</v>
      </c>
      <c r="E11" s="5" t="n">
        <f aca="false">SUMIFS(EPA_panel!I:I,EPA_panel!A:A,A11,EPA_panel!D:D,2023)/C11</f>
        <v>0.792245463522631</v>
      </c>
    </row>
    <row r="12" customFormat="false" ht="15" hidden="false" customHeight="false" outlineLevel="0" collapsed="false">
      <c r="A12" s="2" t="n">
        <v>1003489</v>
      </c>
      <c r="B12" s="2" t="s">
        <v>54</v>
      </c>
      <c r="C12" s="4" t="n">
        <v>515726.2</v>
      </c>
      <c r="D12" s="5" t="n">
        <f aca="false">IFERROR(SUMIFS(EPA_panel!K:K,EPA_panel!A:A,A12,EPA_panel!D:D,2023)/C12,0)</f>
        <v>1.52664167924763</v>
      </c>
      <c r="E12" s="5" t="n">
        <f aca="false">SUMIFS(EPA_panel!I:I,EPA_panel!A:A,A12,EPA_panel!D:D,2023)/C12</f>
        <v>0.703931434935825</v>
      </c>
    </row>
    <row r="13" customFormat="false" ht="15" hidden="false" customHeight="false" outlineLevel="0" collapsed="false">
      <c r="A13" s="2" t="n">
        <v>1005788</v>
      </c>
      <c r="B13" s="2" t="s">
        <v>67</v>
      </c>
      <c r="C13" s="4" t="n">
        <v>509521.6</v>
      </c>
      <c r="D13" s="5" t="n">
        <f aca="false">IFERROR(SUMIFS(EPA_panel!K:K,EPA_panel!A:A,A13,EPA_panel!D:D,2023)/C13,0)</f>
        <v>0.644320625465142</v>
      </c>
      <c r="E13" s="5" t="n">
        <f aca="false">SUMIFS(EPA_panel!I:I,EPA_panel!A:A,A13,EPA_panel!D:D,2023)/C13</f>
        <v>0.692184142929368</v>
      </c>
    </row>
    <row r="14" customFormat="false" ht="15" hidden="false" customHeight="false" outlineLevel="0" collapsed="false">
      <c r="A14" s="2" t="n">
        <v>1007046</v>
      </c>
      <c r="B14" s="2" t="s">
        <v>75</v>
      </c>
      <c r="C14" s="4" t="n">
        <v>468399.6</v>
      </c>
      <c r="D14" s="5" t="n">
        <f aca="false">IFERROR(SUMIFS(EPA_panel!K:K,EPA_panel!A:A,A14,EPA_panel!D:D,2023)/C14,0)</f>
        <v>0.572328447761271</v>
      </c>
      <c r="E14" s="5" t="n">
        <f aca="false">SUMIFS(EPA_panel!I:I,EPA_panel!A:A,A14,EPA_panel!D:D,2023)/C14</f>
        <v>0.616470876576325</v>
      </c>
    </row>
    <row r="15" customFormat="false" ht="15" hidden="false" customHeight="false" outlineLevel="0" collapsed="false">
      <c r="A15" s="2" t="n">
        <v>1005502</v>
      </c>
      <c r="B15" s="2" t="s">
        <v>62</v>
      </c>
      <c r="C15" s="4" t="n">
        <v>457458.9</v>
      </c>
      <c r="D15" s="5" t="n">
        <f aca="false">IFERROR(SUMIFS(EPA_panel!K:K,EPA_panel!A:A,A15,EPA_panel!D:D,2023)/C15,0)</f>
        <v>0.152654850523184</v>
      </c>
      <c r="E15" s="5" t="n">
        <f aca="false">SUMIFS(EPA_panel!I:I,EPA_panel!A:A,A15,EPA_panel!D:D,2023)/C15</f>
        <v>0.612785096103716</v>
      </c>
    </row>
    <row r="16" customFormat="false" ht="15" hidden="false" customHeight="false" outlineLevel="0" collapsed="false">
      <c r="A16" s="2" t="n">
        <v>1006575</v>
      </c>
      <c r="B16" s="2" t="s">
        <v>73</v>
      </c>
      <c r="C16" s="4" t="n">
        <v>378998.3</v>
      </c>
      <c r="D16" s="5" t="n">
        <f aca="false">IFERROR(SUMIFS(EPA_panel!K:K,EPA_panel!A:A,A16,EPA_panel!D:D,2023)/C16,0)</f>
        <v>0.509369989258527</v>
      </c>
      <c r="E16" s="5" t="n">
        <f aca="false">SUMIFS(EPA_panel!I:I,EPA_panel!A:A,A16,EPA_panel!D:D,2023)/C16</f>
        <v>0.588660846235986</v>
      </c>
    </row>
    <row r="17" customFormat="false" ht="15" hidden="false" customHeight="false" outlineLevel="0" collapsed="false">
      <c r="A17" s="2" t="n">
        <v>1006037</v>
      </c>
      <c r="B17" s="2" t="s">
        <v>72</v>
      </c>
      <c r="C17" s="4" t="n">
        <v>294979.8</v>
      </c>
      <c r="D17" s="5" t="n">
        <f aca="false">IFERROR(SUMIFS(EPA_panel!K:K,EPA_panel!A:A,A17,EPA_panel!D:D,2023)/C17,0)</f>
        <v>0.019451135298078</v>
      </c>
      <c r="E17" s="5" t="n">
        <f aca="false">SUMIFS(EPA_panel!I:I,EPA_panel!A:A,A17,EPA_panel!D:D,2023)/C17</f>
        <v>0.817666131714782</v>
      </c>
    </row>
    <row r="18" customFormat="false" ht="15" hidden="false" customHeight="false" outlineLevel="0" collapsed="false">
      <c r="A18" s="2" t="n">
        <v>1005867</v>
      </c>
      <c r="B18" s="2" t="s">
        <v>69</v>
      </c>
      <c r="C18" s="4" t="n">
        <v>240926.1</v>
      </c>
      <c r="D18" s="5" t="n">
        <f aca="false">IFERROR(SUMIFS(EPA_panel!K:K,EPA_panel!A:A,A18,EPA_panel!D:D,2023)/C18,0)</f>
        <v>0.327220255505734</v>
      </c>
      <c r="E18" s="5" t="n">
        <f aca="false">SUMIFS(EPA_panel!I:I,EPA_panel!A:A,A18,EPA_panel!D:D,2023)/C18</f>
        <v>0.448027191740538</v>
      </c>
    </row>
    <row r="19" customFormat="false" ht="15" hidden="false" customHeight="false" outlineLevel="0" collapsed="false">
      <c r="A19" s="2" t="n">
        <v>1007770</v>
      </c>
      <c r="B19" s="2" t="s">
        <v>76</v>
      </c>
      <c r="C19" s="4" t="n">
        <v>193859.4</v>
      </c>
      <c r="D19" s="5" t="n">
        <f aca="false">IFERROR(SUMIFS(EPA_panel!K:K,EPA_panel!A:A,A19,EPA_panel!D:D,2023)/C19,0)</f>
        <v>0.877411804637794</v>
      </c>
      <c r="E19" s="5" t="n">
        <f aca="false">SUMIFS(EPA_panel!I:I,EPA_panel!A:A,A19,EPA_panel!D:D,2023)/C19</f>
        <v>0.627048221546131</v>
      </c>
    </row>
    <row r="20" customFormat="false" ht="15" hidden="false" customHeight="false" outlineLevel="0" collapsed="false">
      <c r="A20" s="2" t="n">
        <v>1005924</v>
      </c>
      <c r="B20" s="2" t="s">
        <v>70</v>
      </c>
      <c r="C20" s="4" t="n">
        <v>170040</v>
      </c>
      <c r="D20" s="5" t="n">
        <f aca="false">IFERROR(SUMIFS(EPA_panel!K:K,EPA_panel!A:A,A20,EPA_panel!D:D,2023)/C20,0)</f>
        <v>0.382172206539638</v>
      </c>
      <c r="E20" s="5" t="n">
        <f aca="false">SUMIFS(EPA_panel!I:I,EPA_panel!A:A,A20,EPA_panel!D:D,2023)/C20</f>
        <v>0.874569160197601</v>
      </c>
    </row>
    <row r="22" customFormat="false" ht="15" hidden="false" customHeight="false" outlineLevel="0" collapsed="false">
      <c r="B22" s="1" t="s">
        <v>88</v>
      </c>
      <c r="D22" s="6" t="n">
        <f aca="false">QUARTILE(D2:D20,1)</f>
        <v>0.102185151145859</v>
      </c>
      <c r="E22" s="6" t="n">
        <f aca="false">QUARTILE(E2:E20,1)</f>
        <v>0.579632772654934</v>
      </c>
    </row>
    <row r="23" customFormat="false" ht="15" hidden="false" customHeight="false" outlineLevel="0" collapsed="false">
      <c r="B23" s="1" t="s">
        <v>89</v>
      </c>
      <c r="D23" s="6" t="n">
        <f aca="false">MEDIAN(D2:D20)</f>
        <v>0.353610848675621</v>
      </c>
      <c r="E23" s="6" t="n">
        <f aca="false">MEDIAN(E2:E20)</f>
        <v>0.612785096103716</v>
      </c>
    </row>
    <row r="24" customFormat="false" ht="15" hidden="false" customHeight="false" outlineLevel="0" collapsed="false">
      <c r="B24" s="1" t="s">
        <v>90</v>
      </c>
      <c r="D24" s="6" t="n">
        <f aca="false">QUARTILE(D2:D20,3)</f>
        <v>0.608324536613206</v>
      </c>
      <c r="E24" s="6" t="n">
        <f aca="false">QUARTILE(E2:E20,3)</f>
        <v>0.734354067506607</v>
      </c>
    </row>
    <row r="26" customFormat="false" ht="15" hidden="false" customHeight="false" outlineLevel="0" collapsed="false">
      <c r="B26" s="2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4"/>
    <col collapsed="false" customWidth="true" hidden="false" outlineLevel="0" max="18" min="3" style="0" width="11"/>
  </cols>
  <sheetData>
    <row r="1" customFormat="false" ht="15" hidden="false" customHeight="false" outlineLevel="0" collapsed="false">
      <c r="A1" s="1" t="s">
        <v>92</v>
      </c>
    </row>
    <row r="2" customFormat="false" ht="15" hidden="false" customHeight="false" outlineLevel="0" collapsed="false">
      <c r="A2" s="3" t="s">
        <v>13</v>
      </c>
      <c r="B2" s="3" t="s">
        <v>14</v>
      </c>
      <c r="C2" s="3" t="s">
        <v>93</v>
      </c>
      <c r="D2" s="3" t="s">
        <v>94</v>
      </c>
      <c r="E2" s="3" t="s">
        <v>95</v>
      </c>
      <c r="F2" s="3" t="s">
        <v>96</v>
      </c>
      <c r="G2" s="3" t="s">
        <v>97</v>
      </c>
      <c r="H2" s="3" t="s">
        <v>98</v>
      </c>
      <c r="I2" s="3" t="s">
        <v>99</v>
      </c>
      <c r="J2" s="3"/>
      <c r="K2" s="3" t="s">
        <v>100</v>
      </c>
      <c r="L2" s="3" t="s">
        <v>101</v>
      </c>
      <c r="M2" s="3" t="s">
        <v>102</v>
      </c>
      <c r="N2" s="3" t="s">
        <v>103</v>
      </c>
      <c r="O2" s="3" t="s">
        <v>104</v>
      </c>
      <c r="P2" s="3" t="s">
        <v>105</v>
      </c>
      <c r="Q2" s="3" t="s">
        <v>106</v>
      </c>
    </row>
    <row r="3" customFormat="false" ht="15" hidden="false" customHeight="false" outlineLevel="0" collapsed="false">
      <c r="A3" s="2" t="n">
        <v>1002301</v>
      </c>
      <c r="B3" s="2" t="s">
        <v>39</v>
      </c>
      <c r="C3" s="4" t="n">
        <f aca="false">SUMIFS(EPA_panel!F:F,EPA_panel!A:A,$A3,EPA_panel!D:D,2017)</f>
        <v>8730636.156</v>
      </c>
      <c r="D3" s="4" t="n">
        <f aca="false">SUMIFS(EPA_panel!F:F,EPA_panel!A:A,$A3,EPA_panel!D:D,2018)</f>
        <v>8685862.008</v>
      </c>
      <c r="E3" s="4" t="n">
        <f aca="false">SUMIFS(EPA_panel!F:F,EPA_panel!A:A,$A3,EPA_panel!D:D,2019)</f>
        <v>10005456.448</v>
      </c>
      <c r="F3" s="4" t="n">
        <f aca="false">SUMIFS(EPA_panel!F:F,EPA_panel!A:A,$A3,EPA_panel!D:D,2020)</f>
        <v>9236777.668</v>
      </c>
      <c r="G3" s="4" t="n">
        <f aca="false">SUMIFS(EPA_panel!F:F,EPA_panel!A:A,$A3,EPA_panel!D:D,2021)</f>
        <v>9052754.262</v>
      </c>
      <c r="H3" s="4" t="n">
        <f aca="false">SUMIFS(EPA_panel!F:F,EPA_panel!A:A,$A3,EPA_panel!D:D,2022)</f>
        <v>9155496.092</v>
      </c>
      <c r="I3" s="4" t="n">
        <f aca="false">SUMIFS(EPA_panel!F:F,EPA_panel!A:A,$A3,EPA_panel!D:D,2023)</f>
        <v>9475265.746</v>
      </c>
      <c r="K3" s="5" t="n">
        <f aca="false">IF($C3=0,"",C3/$C3)</f>
        <v>1</v>
      </c>
      <c r="L3" s="5" t="n">
        <f aca="false">IF($C3=0,"",D3/$C3)</f>
        <v>0.994871605321769</v>
      </c>
      <c r="M3" s="5" t="n">
        <f aca="false">IF($C3=0,"",E3/$C3)</f>
        <v>1.14601688459138</v>
      </c>
      <c r="N3" s="5" t="n">
        <f aca="false">IF($C3=0,"",F3/$C3)</f>
        <v>1.05797303918709</v>
      </c>
      <c r="O3" s="5" t="n">
        <f aca="false">IF($C3=0,"",G3/$C3)</f>
        <v>1.03689514718565</v>
      </c>
      <c r="P3" s="5" t="n">
        <f aca="false">IF($C3=0,"",H3/$C3)</f>
        <v>1.04866311324955</v>
      </c>
      <c r="Q3" s="5" t="n">
        <f aca="false">IF($C3=0,"",I3/$C3)</f>
        <v>1.08528927064361</v>
      </c>
    </row>
    <row r="4" customFormat="false" ht="15" hidden="false" customHeight="false" outlineLevel="0" collapsed="false">
      <c r="A4" s="2" t="n">
        <v>1006005</v>
      </c>
      <c r="B4" s="2" t="s">
        <v>71</v>
      </c>
      <c r="C4" s="4" t="n">
        <f aca="false">SUMIFS(EPA_panel!F:F,EPA_panel!A:A,$A4,EPA_panel!D:D,2017)</f>
        <v>2786006.214</v>
      </c>
      <c r="D4" s="4" t="n">
        <f aca="false">SUMIFS(EPA_panel!F:F,EPA_panel!A:A,$A4,EPA_panel!D:D,2018)</f>
        <v>3027856.076</v>
      </c>
      <c r="E4" s="4" t="n">
        <f aca="false">SUMIFS(EPA_panel!F:F,EPA_panel!A:A,$A4,EPA_panel!D:D,2019)</f>
        <v>3004988.046</v>
      </c>
      <c r="F4" s="4" t="n">
        <f aca="false">SUMIFS(EPA_panel!F:F,EPA_panel!A:A,$A4,EPA_panel!D:D,2020)</f>
        <v>2888938.586</v>
      </c>
      <c r="G4" s="4" t="n">
        <f aca="false">SUMIFS(EPA_panel!F:F,EPA_panel!A:A,$A4,EPA_panel!D:D,2021)</f>
        <v>2764237.958</v>
      </c>
      <c r="H4" s="4" t="n">
        <f aca="false">SUMIFS(EPA_panel!F:F,EPA_panel!A:A,$A4,EPA_panel!D:D,2022)</f>
        <v>3180457.416</v>
      </c>
      <c r="I4" s="4" t="n">
        <f aca="false">SUMIFS(EPA_panel!F:F,EPA_panel!A:A,$A4,EPA_panel!D:D,2023)</f>
        <v>3191236.552</v>
      </c>
      <c r="K4" s="5" t="n">
        <f aca="false">IF($C4=0,"",C4/$C4)</f>
        <v>1</v>
      </c>
      <c r="L4" s="5" t="n">
        <f aca="false">IF($C4=0,"",D4/$C4)</f>
        <v>1.08680880207111</v>
      </c>
      <c r="M4" s="5" t="n">
        <f aca="false">IF($C4=0,"",E4/$C4)</f>
        <v>1.07860062583478</v>
      </c>
      <c r="N4" s="5" t="n">
        <f aca="false">IF($C4=0,"",F4/$C4)</f>
        <v>1.03694621048681</v>
      </c>
      <c r="O4" s="5" t="n">
        <f aca="false">IF($C4=0,"",G4/$C4)</f>
        <v>0.992186573062683</v>
      </c>
      <c r="P4" s="5" t="n">
        <f aca="false">IF($C4=0,"",H4/$C4)</f>
        <v>1.14158303022364</v>
      </c>
      <c r="Q4" s="5" t="n">
        <f aca="false">IF($C4=0,"",I4/$C4)</f>
        <v>1.14545205820564</v>
      </c>
    </row>
    <row r="5" customFormat="false" ht="15" hidden="false" customHeight="false" outlineLevel="0" collapsed="false">
      <c r="A5" s="2" t="n">
        <v>1002170</v>
      </c>
      <c r="B5" s="2" t="s">
        <v>31</v>
      </c>
      <c r="C5" s="4" t="n">
        <f aca="false">SUMIFS(EPA_panel!F:F,EPA_panel!A:A,$A5,EPA_panel!D:D,2017)</f>
        <v>2065937.974</v>
      </c>
      <c r="D5" s="4" t="n">
        <f aca="false">SUMIFS(EPA_panel!F:F,EPA_panel!A:A,$A5,EPA_panel!D:D,2018)</f>
        <v>1973467.68</v>
      </c>
      <c r="E5" s="4" t="n">
        <f aca="false">SUMIFS(EPA_panel!F:F,EPA_panel!A:A,$A5,EPA_panel!D:D,2019)</f>
        <v>2085170.224</v>
      </c>
      <c r="F5" s="4" t="n">
        <f aca="false">SUMIFS(EPA_panel!F:F,EPA_panel!A:A,$A5,EPA_panel!D:D,2020)</f>
        <v>1689228.57</v>
      </c>
      <c r="G5" s="4" t="n">
        <f aca="false">SUMIFS(EPA_panel!F:F,EPA_panel!A:A,$A5,EPA_panel!D:D,2021)</f>
        <v>1674019.8</v>
      </c>
      <c r="H5" s="4" t="n">
        <f aca="false">SUMIFS(EPA_panel!F:F,EPA_panel!A:A,$A5,EPA_panel!D:D,2022)</f>
        <v>1481142.536</v>
      </c>
      <c r="I5" s="4" t="n">
        <f aca="false">SUMIFS(EPA_panel!F:F,EPA_panel!A:A,$A5,EPA_panel!D:D,2023)</f>
        <v>1640985.01</v>
      </c>
      <c r="K5" s="5" t="n">
        <f aca="false">IF($C5=0,"",C5/$C5)</f>
        <v>1</v>
      </c>
      <c r="L5" s="5" t="n">
        <f aca="false">IF($C5=0,"",D5/$C5)</f>
        <v>0.955240527468033</v>
      </c>
      <c r="M5" s="5" t="n">
        <f aca="false">IF($C5=0,"",E5/$C5)</f>
        <v>1.00930920978366</v>
      </c>
      <c r="N5" s="5" t="n">
        <f aca="false">IF($C5=0,"",F5/$C5)</f>
        <v>0.817656963209487</v>
      </c>
      <c r="O5" s="5" t="n">
        <f aca="false">IF($C5=0,"",G5/$C5)</f>
        <v>0.810295285273652</v>
      </c>
      <c r="P5" s="5" t="n">
        <f aca="false">IF($C5=0,"",H5/$C5)</f>
        <v>0.716934658562019</v>
      </c>
      <c r="Q5" s="5" t="n">
        <f aca="false">IF($C5=0,"",I5/$C5)</f>
        <v>0.794305071426118</v>
      </c>
    </row>
    <row r="6" customFormat="false" ht="15" hidden="false" customHeight="false" outlineLevel="0" collapsed="false">
      <c r="A6" s="2" t="n">
        <v>1002407</v>
      </c>
      <c r="B6" s="2" t="s">
        <v>43</v>
      </c>
      <c r="C6" s="4" t="n">
        <f aca="false">SUMIFS(EPA_panel!F:F,EPA_panel!A:A,$A6,EPA_panel!D:D,2017)</f>
        <v>1672354.404</v>
      </c>
      <c r="D6" s="4" t="n">
        <f aca="false">SUMIFS(EPA_panel!F:F,EPA_panel!A:A,$A6,EPA_panel!D:D,2018)</f>
        <v>1845963.196</v>
      </c>
      <c r="E6" s="4" t="n">
        <f aca="false">SUMIFS(EPA_panel!F:F,EPA_panel!A:A,$A6,EPA_panel!D:D,2019)</f>
        <v>2204568.762</v>
      </c>
      <c r="F6" s="4" t="n">
        <f aca="false">SUMIFS(EPA_panel!F:F,EPA_panel!A:A,$A6,EPA_panel!D:D,2020)</f>
        <v>2359236.246</v>
      </c>
      <c r="G6" s="4" t="n">
        <f aca="false">SUMIFS(EPA_panel!F:F,EPA_panel!A:A,$A6,EPA_panel!D:D,2021)</f>
        <v>2123972.458</v>
      </c>
      <c r="H6" s="4" t="n">
        <f aca="false">SUMIFS(EPA_panel!F:F,EPA_panel!A:A,$A6,EPA_panel!D:D,2022)</f>
        <v>2288147.676</v>
      </c>
      <c r="I6" s="4" t="n">
        <f aca="false">SUMIFS(EPA_panel!F:F,EPA_panel!A:A,$A6,EPA_panel!D:D,2023)</f>
        <v>2379961.55</v>
      </c>
      <c r="K6" s="5" t="n">
        <f aca="false">IF($C6=0,"",C6/$C6)</f>
        <v>1</v>
      </c>
      <c r="L6" s="5" t="n">
        <f aca="false">IF($C6=0,"",D6/$C6)</f>
        <v>1.10381100536152</v>
      </c>
      <c r="M6" s="5" t="n">
        <f aca="false">IF($C6=0,"",E6/$C6)</f>
        <v>1.31824256672332</v>
      </c>
      <c r="N6" s="5" t="n">
        <f aca="false">IF($C6=0,"",F6/$C6)</f>
        <v>1.41072743932571</v>
      </c>
      <c r="O6" s="5" t="n">
        <f aca="false">IF($C6=0,"",G6/$C6)</f>
        <v>1.27004925087637</v>
      </c>
      <c r="P6" s="5" t="n">
        <f aca="false">IF($C6=0,"",H6/$C6)</f>
        <v>1.36821936219208</v>
      </c>
      <c r="Q6" s="5" t="n">
        <f aca="false">IF($C6=0,"",I6/$C6)</f>
        <v>1.42312032922419</v>
      </c>
    </row>
    <row r="7" customFormat="false" ht="15" hidden="false" customHeight="false" outlineLevel="0" collapsed="false">
      <c r="A7" s="2" t="n">
        <v>1002275</v>
      </c>
      <c r="B7" s="2" t="s">
        <v>37</v>
      </c>
      <c r="C7" s="4" t="n">
        <f aca="false">SUMIFS(EPA_panel!F:F,EPA_panel!A:A,$A7,EPA_panel!D:D,2017)</f>
        <v>3970696.974</v>
      </c>
      <c r="D7" s="4" t="n">
        <f aca="false">SUMIFS(EPA_panel!F:F,EPA_panel!A:A,$A7,EPA_panel!D:D,2018)</f>
        <v>3869564.372</v>
      </c>
      <c r="E7" s="4" t="n">
        <f aca="false">SUMIFS(EPA_panel!F:F,EPA_panel!A:A,$A7,EPA_panel!D:D,2019)</f>
        <v>3564162.928</v>
      </c>
      <c r="F7" s="4" t="n">
        <f aca="false">SUMIFS(EPA_panel!F:F,EPA_panel!A:A,$A7,EPA_panel!D:D,2020)</f>
        <v>3776285.064</v>
      </c>
      <c r="G7" s="4" t="n">
        <f aca="false">SUMIFS(EPA_panel!F:F,EPA_panel!A:A,$A7,EPA_panel!D:D,2021)</f>
        <v>2808146.346</v>
      </c>
      <c r="H7" s="4" t="n">
        <f aca="false">SUMIFS(EPA_panel!F:F,EPA_panel!A:A,$A7,EPA_panel!D:D,2022)</f>
        <v>3698601.678</v>
      </c>
      <c r="I7" s="4" t="n">
        <f aca="false">SUMIFS(EPA_panel!F:F,EPA_panel!A:A,$A7,EPA_panel!D:D,2023)</f>
        <v>3354662.502</v>
      </c>
      <c r="K7" s="5" t="n">
        <f aca="false">IF($C7=0,"",C7/$C7)</f>
        <v>1</v>
      </c>
      <c r="L7" s="5" t="n">
        <f aca="false">IF($C7=0,"",D7/$C7)</f>
        <v>0.974530264419014</v>
      </c>
      <c r="M7" s="5" t="n">
        <f aca="false">IF($C7=0,"",E7/$C7)</f>
        <v>0.897616451554482</v>
      </c>
      <c r="N7" s="5" t="n">
        <f aca="false">IF($C7=0,"",F7/$C7)</f>
        <v>0.951038341310605</v>
      </c>
      <c r="O7" s="5" t="n">
        <f aca="false">IF($C7=0,"",G7/$C7)</f>
        <v>0.707217489621508</v>
      </c>
      <c r="P7" s="5" t="n">
        <f aca="false">IF($C7=0,"",H7/$C7)</f>
        <v>0.93147417247358</v>
      </c>
      <c r="Q7" s="5" t="n">
        <f aca="false">IF($C7=0,"",I7/$C7)</f>
        <v>0.844854826234846</v>
      </c>
    </row>
    <row r="8" customFormat="false" ht="15" hidden="false" customHeight="false" outlineLevel="0" collapsed="false">
      <c r="A8" s="2" t="n">
        <v>1004340</v>
      </c>
      <c r="B8" s="2" t="s">
        <v>60</v>
      </c>
      <c r="C8" s="4" t="n">
        <f aca="false">SUMIFS(EPA_panel!F:F,EPA_panel!A:A,$A8,EPA_panel!D:D,2017)</f>
        <v>1785426.264</v>
      </c>
      <c r="D8" s="4" t="n">
        <f aca="false">SUMIFS(EPA_panel!F:F,EPA_panel!A:A,$A8,EPA_panel!D:D,2018)</f>
        <v>1808477.702</v>
      </c>
      <c r="E8" s="4" t="n">
        <f aca="false">SUMIFS(EPA_panel!F:F,EPA_panel!A:A,$A8,EPA_panel!D:D,2019)</f>
        <v>1695111.484</v>
      </c>
      <c r="F8" s="4" t="n">
        <f aca="false">SUMIFS(EPA_panel!F:F,EPA_panel!A:A,$A8,EPA_panel!D:D,2020)</f>
        <v>1732541.686</v>
      </c>
      <c r="G8" s="4" t="n">
        <f aca="false">SUMIFS(EPA_panel!F:F,EPA_panel!A:A,$A8,EPA_panel!D:D,2021)</f>
        <v>1877928.274</v>
      </c>
      <c r="H8" s="4" t="n">
        <f aca="false">SUMIFS(EPA_panel!F:F,EPA_panel!A:A,$A8,EPA_panel!D:D,2022)</f>
        <v>1250737.76</v>
      </c>
      <c r="I8" s="4" t="n">
        <f aca="false">SUMIFS(EPA_panel!F:F,EPA_panel!A:A,$A8,EPA_panel!D:D,2023)</f>
        <v>1566702.416</v>
      </c>
      <c r="K8" s="5" t="n">
        <f aca="false">IF($C8=0,"",C8/$C8)</f>
        <v>1</v>
      </c>
      <c r="L8" s="5" t="n">
        <f aca="false">IF($C8=0,"",D8/$C8)</f>
        <v>1.01291088770497</v>
      </c>
      <c r="M8" s="5" t="n">
        <f aca="false">IF($C8=0,"",E8/$C8)</f>
        <v>0.949415564327108</v>
      </c>
      <c r="N8" s="5" t="n">
        <f aca="false">IF($C8=0,"",F8/$C8)</f>
        <v>0.97037985882345</v>
      </c>
      <c r="O8" s="5" t="n">
        <f aca="false">IF($C8=0,"",G8/$C8)</f>
        <v>1.05180948206327</v>
      </c>
      <c r="P8" s="5" t="n">
        <f aca="false">IF($C8=0,"",H8/$C8)</f>
        <v>0.700526134973446</v>
      </c>
      <c r="Q8" s="5" t="n">
        <f aca="false">IF($C8=0,"",I8/$C8)</f>
        <v>0.877494886005553</v>
      </c>
    </row>
    <row r="9" customFormat="false" ht="15" hidden="false" customHeight="false" outlineLevel="0" collapsed="false">
      <c r="A9" s="2" t="n">
        <v>1012918</v>
      </c>
      <c r="B9" s="2" t="s">
        <v>83</v>
      </c>
      <c r="C9" s="4" t="n">
        <f aca="false">SUMIFS(EPA_panel!F:F,EPA_panel!A:A,$A9,EPA_panel!D:D,2017)</f>
        <v>1040649.394</v>
      </c>
      <c r="D9" s="4" t="n">
        <f aca="false">SUMIFS(EPA_panel!F:F,EPA_panel!A:A,$A9,EPA_panel!D:D,2018)</f>
        <v>1684329.35</v>
      </c>
      <c r="E9" s="4" t="n">
        <f aca="false">SUMIFS(EPA_panel!F:F,EPA_panel!A:A,$A9,EPA_panel!D:D,2019)</f>
        <v>1706459.942</v>
      </c>
      <c r="F9" s="4" t="n">
        <f aca="false">SUMIFS(EPA_panel!F:F,EPA_panel!A:A,$A9,EPA_panel!D:D,2020)</f>
        <v>1866658.66</v>
      </c>
      <c r="G9" s="4" t="n">
        <f aca="false">SUMIFS(EPA_panel!F:F,EPA_panel!A:A,$A9,EPA_panel!D:D,2021)</f>
        <v>1473227.592</v>
      </c>
      <c r="H9" s="4" t="n">
        <f aca="false">SUMIFS(EPA_panel!F:F,EPA_panel!A:A,$A9,EPA_panel!D:D,2022)</f>
        <v>1593662.962</v>
      </c>
      <c r="I9" s="4" t="n">
        <f aca="false">SUMIFS(EPA_panel!F:F,EPA_panel!A:A,$A9,EPA_panel!D:D,2023)</f>
        <v>1350064.716</v>
      </c>
      <c r="K9" s="5" t="n">
        <f aca="false">IF($C9=0,"",C9/$C9)</f>
        <v>1</v>
      </c>
      <c r="L9" s="5" t="n">
        <f aca="false">IF($C9=0,"",D9/$C9)</f>
        <v>1.61853680952607</v>
      </c>
      <c r="M9" s="5" t="n">
        <f aca="false">IF($C9=0,"",E9/$C9)</f>
        <v>1.63980294596703</v>
      </c>
      <c r="N9" s="5" t="n">
        <f aca="false">IF($C9=0,"",F9/$C9)</f>
        <v>1.79374405132263</v>
      </c>
      <c r="O9" s="5" t="n">
        <f aca="false">IF($C9=0,"",G9/$C9)</f>
        <v>1.41568101657877</v>
      </c>
      <c r="P9" s="5" t="n">
        <f aca="false">IF($C9=0,"",H9/$C9)</f>
        <v>1.53141199253896</v>
      </c>
      <c r="Q9" s="5" t="n">
        <f aca="false">IF($C9=0,"",I9/$C9)</f>
        <v>1.29732907527163</v>
      </c>
    </row>
    <row r="10" customFormat="false" ht="15" hidden="false" customHeight="false" outlineLevel="0" collapsed="false">
      <c r="A10" s="2" t="n">
        <v>1002229</v>
      </c>
      <c r="B10" s="2" t="s">
        <v>35</v>
      </c>
      <c r="C10" s="4" t="n">
        <f aca="false">SUMIFS(EPA_panel!F:F,EPA_panel!A:A,$A10,EPA_panel!D:D,2017)</f>
        <v>1509004.346</v>
      </c>
      <c r="D10" s="4" t="n">
        <f aca="false">SUMIFS(EPA_panel!F:F,EPA_panel!A:A,$A10,EPA_panel!D:D,2018)</f>
        <v>1622211.538</v>
      </c>
      <c r="E10" s="4" t="n">
        <f aca="false">SUMIFS(EPA_panel!F:F,EPA_panel!A:A,$A10,EPA_panel!D:D,2019)</f>
        <v>1502337.474</v>
      </c>
      <c r="F10" s="4" t="n">
        <f aca="false">SUMIFS(EPA_panel!F:F,EPA_panel!A:A,$A10,EPA_panel!D:D,2020)</f>
        <v>1416352.07</v>
      </c>
      <c r="G10" s="4" t="n">
        <f aca="false">SUMIFS(EPA_panel!F:F,EPA_panel!A:A,$A10,EPA_panel!D:D,2021)</f>
        <v>1730840.732</v>
      </c>
      <c r="H10" s="4" t="n">
        <f aca="false">SUMIFS(EPA_panel!F:F,EPA_panel!A:A,$A10,EPA_panel!D:D,2022)</f>
        <v>1541264.952</v>
      </c>
      <c r="I10" s="4" t="n">
        <f aca="false">SUMIFS(EPA_panel!F:F,EPA_panel!A:A,$A10,EPA_panel!D:D,2023)</f>
        <v>1370574.774</v>
      </c>
      <c r="K10" s="5" t="n">
        <f aca="false">IF($C10=0,"",C10/$C10)</f>
        <v>1</v>
      </c>
      <c r="L10" s="5" t="n">
        <f aca="false">IF($C10=0,"",D10/$C10)</f>
        <v>1.07502111726854</v>
      </c>
      <c r="M10" s="5" t="n">
        <f aca="false">IF($C10=0,"",E10/$C10)</f>
        <v>0.99558193982829</v>
      </c>
      <c r="N10" s="5" t="n">
        <f aca="false">IF($C10=0,"",F10/$C10)</f>
        <v>0.938600391545857</v>
      </c>
      <c r="O10" s="5" t="n">
        <f aca="false">IF($C10=0,"",G10/$C10)</f>
        <v>1.14700844738323</v>
      </c>
      <c r="P10" s="5" t="n">
        <f aca="false">IF($C10=0,"",H10/$C10)</f>
        <v>1.0213787363075</v>
      </c>
      <c r="Q10" s="5" t="n">
        <f aca="false">IF($C10=0,"",I10/$C10)</f>
        <v>0.908264298663591</v>
      </c>
    </row>
    <row r="11" customFormat="false" ht="15" hidden="false" customHeight="false" outlineLevel="0" collapsed="false">
      <c r="A11" s="2" t="n">
        <v>1004183</v>
      </c>
      <c r="B11" s="2" t="s">
        <v>58</v>
      </c>
      <c r="C11" s="4" t="n">
        <f aca="false">SUMIFS(EPA_panel!F:F,EPA_panel!A:A,$A11,EPA_panel!D:D,2017)</f>
        <v>2445427.75</v>
      </c>
      <c r="D11" s="4" t="n">
        <f aca="false">SUMIFS(EPA_panel!F:F,EPA_panel!A:A,$A11,EPA_panel!D:D,2018)</f>
        <v>2124412.982</v>
      </c>
      <c r="E11" s="4" t="n">
        <f aca="false">SUMIFS(EPA_panel!F:F,EPA_panel!A:A,$A11,EPA_panel!D:D,2019)</f>
        <v>2393122.966</v>
      </c>
      <c r="F11" s="4" t="n">
        <f aca="false">SUMIFS(EPA_panel!F:F,EPA_panel!A:A,$A11,EPA_panel!D:D,2020)</f>
        <v>2423738.084</v>
      </c>
      <c r="G11" s="4" t="n">
        <f aca="false">SUMIFS(EPA_panel!F:F,EPA_panel!A:A,$A11,EPA_panel!D:D,2021)</f>
        <v>2090197.216</v>
      </c>
      <c r="H11" s="4" t="n">
        <f aca="false">SUMIFS(EPA_panel!F:F,EPA_panel!A:A,$A11,EPA_panel!D:D,2022)</f>
        <v>2454970.972</v>
      </c>
      <c r="I11" s="4" t="n">
        <f aca="false">SUMIFS(EPA_panel!F:F,EPA_panel!A:A,$A11,EPA_panel!D:D,2023)</f>
        <v>2433916.714</v>
      </c>
      <c r="K11" s="5" t="n">
        <f aca="false">IF($C11=0,"",C11/$C11)</f>
        <v>1</v>
      </c>
      <c r="L11" s="5" t="n">
        <f aca="false">IF($C11=0,"",D11/$C11)</f>
        <v>0.868728582146825</v>
      </c>
      <c r="M11" s="5" t="n">
        <f aca="false">IF($C11=0,"",E11/$C11)</f>
        <v>0.978611192254607</v>
      </c>
      <c r="N11" s="5" t="n">
        <f aca="false">IF($C11=0,"",F11/$C11)</f>
        <v>0.991130522666229</v>
      </c>
      <c r="O11" s="5" t="n">
        <f aca="false">IF($C11=0,"",G11/$C11)</f>
        <v>0.854736851661228</v>
      </c>
      <c r="P11" s="5" t="n">
        <f aca="false">IF($C11=0,"",H11/$C11)</f>
        <v>1.0039024755485</v>
      </c>
      <c r="Q11" s="5" t="n">
        <f aca="false">IF($C11=0,"",I11/$C11)</f>
        <v>0.995292833329466</v>
      </c>
    </row>
    <row r="12" customFormat="false" ht="15" hidden="false" customHeight="false" outlineLevel="0" collapsed="false">
      <c r="A12" s="2" t="n">
        <v>1003993</v>
      </c>
      <c r="B12" s="2" t="s">
        <v>56</v>
      </c>
      <c r="C12" s="4" t="n">
        <f aca="false">SUMIFS(EPA_panel!F:F,EPA_panel!A:A,$A12,EPA_panel!D:D,2017)</f>
        <v>1006988.276</v>
      </c>
      <c r="D12" s="4" t="n">
        <f aca="false">SUMIFS(EPA_panel!F:F,EPA_panel!A:A,$A12,EPA_panel!D:D,2018)</f>
        <v>1113481.604</v>
      </c>
      <c r="E12" s="4" t="n">
        <f aca="false">SUMIFS(EPA_panel!F:F,EPA_panel!A:A,$A12,EPA_panel!D:D,2019)</f>
        <v>890953.428</v>
      </c>
      <c r="F12" s="4" t="n">
        <f aca="false">SUMIFS(EPA_panel!F:F,EPA_panel!A:A,$A12,EPA_panel!D:D,2020)</f>
        <v>931867.73</v>
      </c>
      <c r="G12" s="4" t="n">
        <f aca="false">SUMIFS(EPA_panel!F:F,EPA_panel!A:A,$A12,EPA_panel!D:D,2021)</f>
        <v>951491.91</v>
      </c>
      <c r="H12" s="4" t="n">
        <f aca="false">SUMIFS(EPA_panel!F:F,EPA_panel!A:A,$A12,EPA_panel!D:D,2022)</f>
        <v>911786.542</v>
      </c>
      <c r="I12" s="4" t="n">
        <f aca="false">SUMIFS(EPA_panel!F:F,EPA_panel!A:A,$A12,EPA_panel!D:D,2023)</f>
        <v>1027771.684</v>
      </c>
      <c r="K12" s="5" t="n">
        <f aca="false">IF($C12=0,"",C12/$C12)</f>
        <v>1</v>
      </c>
      <c r="L12" s="5" t="n">
        <f aca="false">IF($C12=0,"",D12/$C12)</f>
        <v>1.10575428784833</v>
      </c>
      <c r="M12" s="5" t="n">
        <f aca="false">IF($C12=0,"",E12/$C12)</f>
        <v>0.884770408190929</v>
      </c>
      <c r="N12" s="5" t="n">
        <f aca="false">IF($C12=0,"",F12/$C12)</f>
        <v>0.925400773980809</v>
      </c>
      <c r="O12" s="5" t="n">
        <f aca="false">IF($C12=0,"",G12/$C12)</f>
        <v>0.944888766510326</v>
      </c>
      <c r="P12" s="5" t="n">
        <f aca="false">IF($C12=0,"",H12/$C12)</f>
        <v>0.905458944985771</v>
      </c>
      <c r="Q12" s="5" t="n">
        <f aca="false">IF($C12=0,"",I12/$C12)</f>
        <v>1.02063917574349</v>
      </c>
    </row>
    <row r="13" customFormat="false" ht="15" hidden="false" customHeight="false" outlineLevel="0" collapsed="false">
      <c r="A13" s="2" t="n">
        <v>1003489</v>
      </c>
      <c r="B13" s="2" t="s">
        <v>54</v>
      </c>
      <c r="C13" s="4" t="n">
        <f aca="false">SUMIFS(EPA_panel!F:F,EPA_panel!A:A,$A13,EPA_panel!D:D,2017)</f>
        <v>1244129.474</v>
      </c>
      <c r="D13" s="4" t="n">
        <f aca="false">SUMIFS(EPA_panel!F:F,EPA_panel!A:A,$A13,EPA_panel!D:D,2018)</f>
        <v>1230111.446</v>
      </c>
      <c r="E13" s="4" t="n">
        <f aca="false">SUMIFS(EPA_panel!F:F,EPA_panel!A:A,$A13,EPA_panel!D:D,2019)</f>
        <v>1428934.19</v>
      </c>
      <c r="F13" s="4" t="n">
        <f aca="false">SUMIFS(EPA_panel!F:F,EPA_panel!A:A,$A13,EPA_panel!D:D,2020)</f>
        <v>1491749.26</v>
      </c>
      <c r="G13" s="4" t="n">
        <f aca="false">SUMIFS(EPA_panel!F:F,EPA_panel!A:A,$A13,EPA_panel!D:D,2021)</f>
        <v>1458822.858</v>
      </c>
      <c r="H13" s="4" t="n">
        <f aca="false">SUMIFS(EPA_panel!F:F,EPA_panel!A:A,$A13,EPA_panel!D:D,2022)</f>
        <v>1543456.252</v>
      </c>
      <c r="I13" s="4" t="n">
        <f aca="false">SUMIFS(EPA_panel!F:F,EPA_panel!A:A,$A13,EPA_panel!D:D,2023)</f>
        <v>1666091.196</v>
      </c>
      <c r="K13" s="5" t="n">
        <f aca="false">IF($C13=0,"",C13/$C13)</f>
        <v>1</v>
      </c>
      <c r="L13" s="5" t="n">
        <f aca="false">IF($C13=0,"",D13/$C13)</f>
        <v>0.988732661436811</v>
      </c>
      <c r="M13" s="5" t="n">
        <f aca="false">IF($C13=0,"",E13/$C13)</f>
        <v>1.14854138565324</v>
      </c>
      <c r="N13" s="5" t="n">
        <f aca="false">IF($C13=0,"",F13/$C13)</f>
        <v>1.19903056006211</v>
      </c>
      <c r="O13" s="5" t="n">
        <f aca="false">IF($C13=0,"",G13/$C13)</f>
        <v>1.17256514573981</v>
      </c>
      <c r="P13" s="5" t="n">
        <f aca="false">IF($C13=0,"",H13/$C13)</f>
        <v>1.24059134057618</v>
      </c>
      <c r="Q13" s="5" t="n">
        <f aca="false">IF($C13=0,"",I13/$C13)</f>
        <v>1.33916222613339</v>
      </c>
    </row>
    <row r="14" customFormat="false" ht="15" hidden="false" customHeight="false" outlineLevel="0" collapsed="false">
      <c r="A14" s="2" t="n">
        <v>1005788</v>
      </c>
      <c r="B14" s="2" t="s">
        <v>67</v>
      </c>
      <c r="C14" s="4" t="n">
        <f aca="false">SUMIFS(EPA_panel!F:F,EPA_panel!A:A,$A14,EPA_panel!D:D,2017)</f>
        <v>1193834.406</v>
      </c>
      <c r="D14" s="4" t="n">
        <f aca="false">SUMIFS(EPA_panel!F:F,EPA_panel!A:A,$A14,EPA_panel!D:D,2018)</f>
        <v>1324696.664</v>
      </c>
      <c r="E14" s="4" t="n">
        <f aca="false">SUMIFS(EPA_panel!F:F,EPA_panel!A:A,$A14,EPA_panel!D:D,2019)</f>
        <v>1098808.164</v>
      </c>
      <c r="F14" s="4" t="n">
        <f aca="false">SUMIFS(EPA_panel!F:F,EPA_panel!A:A,$A14,EPA_panel!D:D,2020)</f>
        <v>1277183.674</v>
      </c>
      <c r="G14" s="4" t="n">
        <f aca="false">SUMIFS(EPA_panel!F:F,EPA_panel!A:A,$A14,EPA_panel!D:D,2021)</f>
        <v>1246631.364</v>
      </c>
      <c r="H14" s="4" t="n">
        <f aca="false">SUMIFS(EPA_panel!F:F,EPA_panel!A:A,$A14,EPA_panel!D:D,2022)</f>
        <v>1303743.318</v>
      </c>
      <c r="I14" s="4" t="n">
        <f aca="false">SUMIFS(EPA_panel!F:F,EPA_panel!A:A,$A14,EPA_panel!D:D,2023)</f>
        <v>1190499.648</v>
      </c>
      <c r="K14" s="5" t="n">
        <f aca="false">IF($C14=0,"",C14/$C14)</f>
        <v>1</v>
      </c>
      <c r="L14" s="5" t="n">
        <f aca="false">IF($C14=0,"",D14/$C14)</f>
        <v>1.10961508341719</v>
      </c>
      <c r="M14" s="5" t="n">
        <f aca="false">IF($C14=0,"",E14/$C14)</f>
        <v>0.920402493409124</v>
      </c>
      <c r="N14" s="5" t="n">
        <f aca="false">IF($C14=0,"",F14/$C14)</f>
        <v>1.06981643985221</v>
      </c>
      <c r="O14" s="5" t="n">
        <f aca="false">IF($C14=0,"",G14/$C14)</f>
        <v>1.04422469124248</v>
      </c>
      <c r="P14" s="5" t="n">
        <f aca="false">IF($C14=0,"",H14/$C14)</f>
        <v>1.09206378325806</v>
      </c>
      <c r="Q14" s="5" t="n">
        <f aca="false">IF($C14=0,"",I14/$C14)</f>
        <v>0.997206682950969</v>
      </c>
    </row>
    <row r="15" customFormat="false" ht="15" hidden="false" customHeight="false" outlineLevel="0" collapsed="false">
      <c r="A15" s="2" t="n">
        <v>1007046</v>
      </c>
      <c r="B15" s="2" t="s">
        <v>75</v>
      </c>
      <c r="C15" s="4" t="n">
        <f aca="false">SUMIFS(EPA_panel!F:F,EPA_panel!A:A,$A15,EPA_panel!D:D,2017)</f>
        <v>894310.904</v>
      </c>
      <c r="D15" s="4" t="n">
        <f aca="false">SUMIFS(EPA_panel!F:F,EPA_panel!A:A,$A15,EPA_panel!D:D,2018)</f>
        <v>879769.3</v>
      </c>
      <c r="E15" s="4" t="n">
        <f aca="false">SUMIFS(EPA_panel!F:F,EPA_panel!A:A,$A15,EPA_panel!D:D,2019)</f>
        <v>796042.162</v>
      </c>
      <c r="F15" s="4" t="n">
        <f aca="false">SUMIFS(EPA_panel!F:F,EPA_panel!A:A,$A15,EPA_panel!D:D,2020)</f>
        <v>945271.652</v>
      </c>
      <c r="G15" s="4" t="n">
        <f aca="false">SUMIFS(EPA_panel!F:F,EPA_panel!A:A,$A15,EPA_panel!D:D,2021)</f>
        <v>927687.112</v>
      </c>
      <c r="H15" s="4" t="n">
        <f aca="false">SUMIFS(EPA_panel!F:F,EPA_panel!A:A,$A15,EPA_panel!D:D,2022)</f>
        <v>895665.846</v>
      </c>
      <c r="I15" s="4" t="n">
        <f aca="false">SUMIFS(EPA_panel!F:F,EPA_panel!A:A,$A15,EPA_panel!D:D,2023)</f>
        <v>1025232.728</v>
      </c>
      <c r="K15" s="5" t="n">
        <f aca="false">IF($C15=0,"",C15/$C15)</f>
        <v>1</v>
      </c>
      <c r="L15" s="5" t="n">
        <f aca="false">IF($C15=0,"",D15/$C15)</f>
        <v>0.98373987845283</v>
      </c>
      <c r="M15" s="5" t="n">
        <f aca="false">IF($C15=0,"",E15/$C15)</f>
        <v>0.890117920333442</v>
      </c>
      <c r="N15" s="5" t="n">
        <f aca="false">IF($C15=0,"",F15/$C15)</f>
        <v>1.05698325690995</v>
      </c>
      <c r="O15" s="5" t="n">
        <f aca="false">IF($C15=0,"",G15/$C15)</f>
        <v>1.0373205871143</v>
      </c>
      <c r="P15" s="5" t="n">
        <f aca="false">IF($C15=0,"",H15/$C15)</f>
        <v>1.00151506818707</v>
      </c>
      <c r="Q15" s="5" t="n">
        <f aca="false">IF($C15=0,"",I15/$C15)</f>
        <v>1.14639408220835</v>
      </c>
    </row>
    <row r="16" customFormat="false" ht="15" hidden="false" customHeight="false" outlineLevel="0" collapsed="false">
      <c r="A16" s="2" t="n">
        <v>1005502</v>
      </c>
      <c r="B16" s="2" t="s">
        <v>62</v>
      </c>
      <c r="C16" s="4" t="n">
        <f aca="false">SUMIFS(EPA_panel!F:F,EPA_panel!A:A,$A16,EPA_panel!D:D,2017)</f>
        <v>698384.32</v>
      </c>
      <c r="D16" s="4" t="n">
        <f aca="false">SUMIFS(EPA_panel!F:F,EPA_panel!A:A,$A16,EPA_panel!D:D,2018)</f>
        <v>822930.72</v>
      </c>
      <c r="E16" s="4" t="n">
        <f aca="false">SUMIFS(EPA_panel!F:F,EPA_panel!A:A,$A16,EPA_panel!D:D,2019)</f>
        <v>692074.68</v>
      </c>
      <c r="F16" s="4" t="n">
        <f aca="false">SUMIFS(EPA_panel!F:F,EPA_panel!A:A,$A16,EPA_panel!D:D,2020)</f>
        <v>841698.98</v>
      </c>
      <c r="G16" s="4" t="n">
        <f aca="false">SUMIFS(EPA_panel!F:F,EPA_panel!A:A,$A16,EPA_panel!D:D,2021)</f>
        <v>760206.164</v>
      </c>
      <c r="H16" s="4" t="n">
        <f aca="false">SUMIFS(EPA_panel!F:F,EPA_panel!A:A,$A16,EPA_panel!D:D,2022)</f>
        <v>682738.788</v>
      </c>
      <c r="I16" s="4" t="n">
        <f aca="false">SUMIFS(EPA_panel!F:F,EPA_panel!A:A,$A16,EPA_panel!D:D,2023)</f>
        <v>807616.216</v>
      </c>
      <c r="K16" s="5" t="n">
        <f aca="false">IF($C16=0,"",C16/$C16)</f>
        <v>1</v>
      </c>
      <c r="L16" s="5" t="n">
        <f aca="false">IF($C16=0,"",D16/$C16)</f>
        <v>1.1783350462393</v>
      </c>
      <c r="M16" s="5" t="n">
        <f aca="false">IF($C16=0,"",E16/$C16)</f>
        <v>0.990965375625845</v>
      </c>
      <c r="N16" s="5" t="n">
        <f aca="false">IF($C16=0,"",F16/$C16)</f>
        <v>1.20520887410531</v>
      </c>
      <c r="O16" s="5" t="n">
        <f aca="false">IF($C16=0,"",G16/$C16)</f>
        <v>1.08852123713201</v>
      </c>
      <c r="P16" s="5" t="n">
        <f aca="false">IF($C16=0,"",H16/$C16)</f>
        <v>0.977597532544832</v>
      </c>
      <c r="Q16" s="5" t="n">
        <f aca="false">IF($C16=0,"",I16/$C16)</f>
        <v>1.15640656995277</v>
      </c>
    </row>
    <row r="17" customFormat="false" ht="15" hidden="false" customHeight="false" outlineLevel="0" collapsed="false">
      <c r="A17" s="2" t="n">
        <v>1006575</v>
      </c>
      <c r="B17" s="2" t="s">
        <v>73</v>
      </c>
      <c r="C17" s="4" t="n">
        <f aca="false">SUMIFS(EPA_panel!F:F,EPA_panel!A:A,$A17,EPA_panel!D:D,2017)</f>
        <v>576883.012</v>
      </c>
      <c r="D17" s="4" t="n">
        <f aca="false">SUMIFS(EPA_panel!F:F,EPA_panel!A:A,$A17,EPA_panel!D:D,2018)</f>
        <v>551842.732</v>
      </c>
      <c r="E17" s="4" t="n">
        <f aca="false">SUMIFS(EPA_panel!F:F,EPA_panel!A:A,$A17,EPA_panel!D:D,2019)</f>
        <v>605576.09</v>
      </c>
      <c r="F17" s="4" t="n">
        <f aca="false">SUMIFS(EPA_panel!F:F,EPA_panel!A:A,$A17,EPA_panel!D:D,2020)</f>
        <v>599735.396</v>
      </c>
      <c r="G17" s="4" t="n">
        <f aca="false">SUMIFS(EPA_panel!F:F,EPA_panel!A:A,$A17,EPA_panel!D:D,2021)</f>
        <v>547948.336</v>
      </c>
      <c r="H17" s="4" t="n">
        <f aca="false">SUMIFS(EPA_panel!F:F,EPA_panel!A:A,$A17,EPA_panel!D:D,2022)</f>
        <v>631946.276</v>
      </c>
      <c r="I17" s="4" t="n">
        <f aca="false">SUMIFS(EPA_panel!F:F,EPA_panel!A:A,$A17,EPA_panel!D:D,2023)</f>
        <v>795150.12</v>
      </c>
      <c r="K17" s="5" t="n">
        <f aca="false">IF($C17=0,"",C17/$C17)</f>
        <v>1</v>
      </c>
      <c r="L17" s="5" t="n">
        <f aca="false">IF($C17=0,"",D17/$C17)</f>
        <v>0.956593833621157</v>
      </c>
      <c r="M17" s="5" t="n">
        <f aca="false">IF($C17=0,"",E17/$C17)</f>
        <v>1.04973812264037</v>
      </c>
      <c r="N17" s="5" t="n">
        <f aca="false">IF($C17=0,"",F17/$C17)</f>
        <v>1.03961354993064</v>
      </c>
      <c r="O17" s="5" t="n">
        <f aca="false">IF($C17=0,"",G17/$C17)</f>
        <v>0.949843078409111</v>
      </c>
      <c r="P17" s="5" t="n">
        <f aca="false">IF($C17=0,"",H17/$C17)</f>
        <v>1.09544961951488</v>
      </c>
      <c r="Q17" s="5" t="n">
        <f aca="false">IF($C17=0,"",I17/$C17)</f>
        <v>1.37835592912207</v>
      </c>
    </row>
    <row r="18" customFormat="false" ht="15" hidden="false" customHeight="false" outlineLevel="0" collapsed="false">
      <c r="A18" s="2" t="n">
        <v>1006037</v>
      </c>
      <c r="B18" s="2" t="s">
        <v>72</v>
      </c>
      <c r="C18" s="4" t="n">
        <f aca="false">SUMIFS(EPA_panel!F:F,EPA_panel!A:A,$A18,EPA_panel!D:D,2017)</f>
        <v>527099.77</v>
      </c>
      <c r="D18" s="4" t="n">
        <f aca="false">SUMIFS(EPA_panel!F:F,EPA_panel!A:A,$A18,EPA_panel!D:D,2018)</f>
        <v>544739.912</v>
      </c>
      <c r="E18" s="4" t="n">
        <f aca="false">SUMIFS(EPA_panel!F:F,EPA_panel!A:A,$A18,EPA_panel!D:D,2019)</f>
        <v>501717.96</v>
      </c>
      <c r="F18" s="4" t="n">
        <f aca="false">SUMIFS(EPA_panel!F:F,EPA_panel!A:A,$A18,EPA_panel!D:D,2020)</f>
        <v>582840.96</v>
      </c>
      <c r="G18" s="4" t="n">
        <f aca="false">SUMIFS(EPA_panel!F:F,EPA_panel!A:A,$A18,EPA_panel!D:D,2021)</f>
        <v>562543.712</v>
      </c>
      <c r="H18" s="4" t="n">
        <f aca="false">SUMIFS(EPA_panel!F:F,EPA_panel!A:A,$A18,EPA_panel!D:D,2022)</f>
        <v>589710.29</v>
      </c>
      <c r="I18" s="4" t="n">
        <f aca="false">SUMIFS(EPA_panel!F:F,EPA_panel!A:A,$A18,EPA_panel!D:D,2023)</f>
        <v>541912.484</v>
      </c>
      <c r="K18" s="5" t="n">
        <f aca="false">IF($C18=0,"",C18/$C18)</f>
        <v>1</v>
      </c>
      <c r="L18" s="5" t="n">
        <f aca="false">IF($C18=0,"",D18/$C18)</f>
        <v>1.03346641945983</v>
      </c>
      <c r="M18" s="5" t="n">
        <f aca="false">IF($C18=0,"",E18/$C18)</f>
        <v>0.951846288986239</v>
      </c>
      <c r="N18" s="5" t="n">
        <f aca="false">IF($C18=0,"",F18/$C18)</f>
        <v>1.10575073861254</v>
      </c>
      <c r="O18" s="5" t="n">
        <f aca="false">IF($C18=0,"",G18/$C18)</f>
        <v>1.06724332662866</v>
      </c>
      <c r="P18" s="5" t="n">
        <f aca="false">IF($C18=0,"",H18/$C18)</f>
        <v>1.11878305315899</v>
      </c>
      <c r="Q18" s="5" t="n">
        <f aca="false">IF($C18=0,"",I18/$C18)</f>
        <v>1.02810229645898</v>
      </c>
    </row>
    <row r="19" customFormat="false" ht="15" hidden="false" customHeight="false" outlineLevel="0" collapsed="false">
      <c r="A19" s="2" t="n">
        <v>1005867</v>
      </c>
      <c r="B19" s="2" t="s">
        <v>69</v>
      </c>
      <c r="C19" s="4" t="n">
        <f aca="false">SUMIFS(EPA_panel!F:F,EPA_panel!A:A,$A19,EPA_panel!D:D,2017)</f>
        <v>258400.008</v>
      </c>
      <c r="D19" s="4" t="n">
        <f aca="false">SUMIFS(EPA_panel!F:F,EPA_panel!A:A,$A19,EPA_panel!D:D,2018)</f>
        <v>342236.22</v>
      </c>
      <c r="E19" s="4" t="n">
        <f aca="false">SUMIFS(EPA_panel!F:F,EPA_panel!A:A,$A19,EPA_panel!D:D,2019)</f>
        <v>299259.06</v>
      </c>
      <c r="F19" s="4" t="n">
        <f aca="false">SUMIFS(EPA_panel!F:F,EPA_panel!A:A,$A19,EPA_panel!D:D,2020)</f>
        <v>384391.312</v>
      </c>
      <c r="G19" s="4" t="n">
        <f aca="false">SUMIFS(EPA_panel!F:F,EPA_panel!A:A,$A19,EPA_panel!D:D,2021)</f>
        <v>316836.396</v>
      </c>
      <c r="H19" s="4" t="n">
        <f aca="false">SUMIFS(EPA_panel!F:F,EPA_panel!A:A,$A19,EPA_panel!D:D,2022)</f>
        <v>359727.848</v>
      </c>
      <c r="I19" s="4" t="n">
        <f aca="false">SUMIFS(EPA_panel!F:F,EPA_panel!A:A,$A19,EPA_panel!D:D,2023)</f>
        <v>427703.444</v>
      </c>
      <c r="K19" s="5" t="n">
        <f aca="false">IF($C19=0,"",C19/$C19)</f>
        <v>1</v>
      </c>
      <c r="L19" s="5" t="n">
        <f aca="false">IF($C19=0,"",D19/$C19)</f>
        <v>1.32444353484695</v>
      </c>
      <c r="M19" s="5" t="n">
        <f aca="false">IF($C19=0,"",E19/$C19)</f>
        <v>1.15812326135841</v>
      </c>
      <c r="N19" s="5" t="n">
        <f aca="false">IF($C19=0,"",F19/$C19)</f>
        <v>1.487582430725</v>
      </c>
      <c r="O19" s="5" t="n">
        <f aca="false">IF($C19=0,"",G19/$C19)</f>
        <v>1.22614700538245</v>
      </c>
      <c r="P19" s="5" t="n">
        <f aca="false">IF($C19=0,"",H19/$C19)</f>
        <v>1.39213559157475</v>
      </c>
      <c r="Q19" s="5" t="n">
        <f aca="false">IF($C19=0,"",I19/$C19)</f>
        <v>1.65519903544275</v>
      </c>
    </row>
    <row r="20" customFormat="false" ht="15" hidden="false" customHeight="false" outlineLevel="0" collapsed="false">
      <c r="A20" s="2" t="n">
        <v>1007770</v>
      </c>
      <c r="B20" s="2" t="s">
        <v>76</v>
      </c>
      <c r="C20" s="4" t="n">
        <f aca="false">SUMIFS(EPA_panel!F:F,EPA_panel!A:A,$A20,EPA_panel!D:D,2017)</f>
        <v>479180.972</v>
      </c>
      <c r="D20" s="4" t="n">
        <f aca="false">SUMIFS(EPA_panel!F:F,EPA_panel!A:A,$A20,EPA_panel!D:D,2018)</f>
        <v>352180.902</v>
      </c>
      <c r="E20" s="4" t="n">
        <f aca="false">SUMIFS(EPA_panel!F:F,EPA_panel!A:A,$A20,EPA_panel!D:D,2019)</f>
        <v>405718.774</v>
      </c>
      <c r="F20" s="4" t="n">
        <f aca="false">SUMIFS(EPA_panel!F:F,EPA_panel!A:A,$A20,EPA_panel!D:D,2020)</f>
        <v>450960.496</v>
      </c>
      <c r="G20" s="4" t="n">
        <f aca="false">SUMIFS(EPA_panel!F:F,EPA_panel!A:A,$A20,EPA_panel!D:D,2021)</f>
        <v>459227.658</v>
      </c>
      <c r="H20" s="4" t="n">
        <f aca="false">SUMIFS(EPA_panel!F:F,EPA_panel!A:A,$A20,EPA_panel!D:D,2022)</f>
        <v>492321.604</v>
      </c>
      <c r="I20" s="4" t="n">
        <f aca="false">SUMIFS(EPA_panel!F:F,EPA_panel!A:A,$A20,EPA_panel!D:D,2023)</f>
        <v>485513.118</v>
      </c>
      <c r="K20" s="5" t="n">
        <f aca="false">IF($C20=0,"",C20/$C20)</f>
        <v>1</v>
      </c>
      <c r="L20" s="5" t="n">
        <f aca="false">IF($C20=0,"",D20/$C20)</f>
        <v>0.73496428818964</v>
      </c>
      <c r="M20" s="5" t="n">
        <f aca="false">IF($C20=0,"",E20/$C20)</f>
        <v>0.846692163728071</v>
      </c>
      <c r="N20" s="5" t="n">
        <f aca="false">IF($C20=0,"",F20/$C20)</f>
        <v>0.941106851797112</v>
      </c>
      <c r="O20" s="5" t="n">
        <f aca="false">IF($C20=0,"",G20/$C20)</f>
        <v>0.9583595443769</v>
      </c>
      <c r="P20" s="5" t="n">
        <f aca="false">IF($C20=0,"",H20/$C20)</f>
        <v>1.02742310894599</v>
      </c>
      <c r="Q20" s="5" t="n">
        <f aca="false">IF($C20=0,"",I20/$C20)</f>
        <v>1.01321451887701</v>
      </c>
    </row>
    <row r="21" customFormat="false" ht="15" hidden="false" customHeight="false" outlineLevel="0" collapsed="false">
      <c r="A21" s="2" t="n">
        <v>1005924</v>
      </c>
      <c r="B21" s="2" t="s">
        <v>70</v>
      </c>
      <c r="C21" s="4" t="n">
        <f aca="false">SUMIFS(EPA_panel!F:F,EPA_panel!A:A,$A21,EPA_panel!D:D,2017)</f>
        <v>398625.382</v>
      </c>
      <c r="D21" s="4" t="n">
        <f aca="false">SUMIFS(EPA_panel!F:F,EPA_panel!A:A,$A21,EPA_panel!D:D,2018)</f>
        <v>406368.324</v>
      </c>
      <c r="E21" s="4" t="n">
        <f aca="false">SUMIFS(EPA_panel!F:F,EPA_panel!A:A,$A21,EPA_panel!D:D,2019)</f>
        <v>434448.182</v>
      </c>
      <c r="F21" s="4" t="n">
        <f aca="false">SUMIFS(EPA_panel!F:F,EPA_panel!A:A,$A21,EPA_panel!D:D,2020)</f>
        <v>432358.304</v>
      </c>
      <c r="G21" s="4" t="n">
        <f aca="false">SUMIFS(EPA_panel!F:F,EPA_panel!A:A,$A21,EPA_panel!D:D,2021)</f>
        <v>452804.81</v>
      </c>
      <c r="H21" s="4" t="n">
        <f aca="false">SUMIFS(EPA_panel!F:F,EPA_panel!A:A,$A21,EPA_panel!D:D,2022)</f>
        <v>509609.528</v>
      </c>
      <c r="I21" s="4" t="n">
        <f aca="false">SUMIFS(EPA_panel!F:F,EPA_panel!A:A,$A21,EPA_panel!D:D,2023)</f>
        <v>383736.302</v>
      </c>
      <c r="K21" s="5" t="n">
        <f aca="false">IF($C21=0,"",C21/$C21)</f>
        <v>1</v>
      </c>
      <c r="L21" s="5" t="n">
        <f aca="false">IF($C21=0,"",D21/$C21)</f>
        <v>1.01942410681716</v>
      </c>
      <c r="M21" s="5" t="n">
        <f aca="false">IF($C21=0,"",E21/$C21)</f>
        <v>1.08986582796175</v>
      </c>
      <c r="N21" s="5" t="n">
        <f aca="false">IF($C21=0,"",F21/$C21)</f>
        <v>1.08462311614668</v>
      </c>
      <c r="O21" s="5" t="n">
        <f aca="false">IF($C21=0,"",G21/$C21)</f>
        <v>1.13591565024828</v>
      </c>
      <c r="P21" s="5" t="n">
        <f aca="false">IF($C21=0,"",H21/$C21)</f>
        <v>1.27841715809256</v>
      </c>
      <c r="Q21" s="5" t="n">
        <f aca="false">IF($C21=0,"",I21/$C21)</f>
        <v>0.962648941406345</v>
      </c>
    </row>
    <row r="22" customFormat="false" ht="15" hidden="false" customHeight="false" outlineLevel="0" collapsed="false">
      <c r="B22" s="1" t="s">
        <v>88</v>
      </c>
      <c r="K22" s="6" t="n">
        <f aca="false">QUARTILE(K3:K21,1)</f>
        <v>1</v>
      </c>
      <c r="L22" s="6" t="n">
        <f aca="false">QUARTILE(L3:L21,1)</f>
        <v>0.979135071435922</v>
      </c>
      <c r="M22" s="6" t="n">
        <f aca="false">QUARTILE(M3:M21,1)</f>
        <v>0.934909028868116</v>
      </c>
      <c r="N22" s="6" t="n">
        <f aca="false">QUARTILE(N3:N21,1)</f>
        <v>0.960709100067028</v>
      </c>
      <c r="O22" s="6" t="n">
        <f aca="false">QUARTILE(O3:O21,1)</f>
        <v>0.954101311393005</v>
      </c>
      <c r="P22" s="6" t="n">
        <f aca="false">QUARTILE(P3:P21,1)</f>
        <v>0.989556300365951</v>
      </c>
      <c r="Q22" s="6" t="n">
        <f aca="false">QUARTILE(Q3:Q21,1)</f>
        <v>0.978970887367906</v>
      </c>
    </row>
    <row r="23" customFormat="false" ht="15" hidden="false" customHeight="false" outlineLevel="0" collapsed="false">
      <c r="B23" s="1" t="s">
        <v>89</v>
      </c>
      <c r="K23" s="6" t="n">
        <f aca="false">MEDIAN(K3:K21)</f>
        <v>1</v>
      </c>
      <c r="L23" s="6" t="n">
        <f aca="false">MEDIAN(L3:L21)</f>
        <v>1.01942410681716</v>
      </c>
      <c r="M23" s="6" t="n">
        <f aca="false">MEDIAN(M3:M21)</f>
        <v>0.99558193982829</v>
      </c>
      <c r="N23" s="6" t="n">
        <f aca="false">MEDIAN(N3:N21)</f>
        <v>1.05698325690995</v>
      </c>
      <c r="O23" s="6" t="n">
        <f aca="false">MEDIAN(O3:O21)</f>
        <v>1.04422469124248</v>
      </c>
      <c r="P23" s="6" t="n">
        <f aca="false">MEDIAN(P3:P21)</f>
        <v>1.04866311324955</v>
      </c>
      <c r="Q23" s="6" t="n">
        <f aca="false">MEDIAN(Q3:Q21)</f>
        <v>1.02810229645898</v>
      </c>
    </row>
    <row r="24" customFormat="false" ht="15" hidden="false" customHeight="false" outlineLevel="0" collapsed="false">
      <c r="B24" s="1" t="s">
        <v>90</v>
      </c>
      <c r="K24" s="6" t="n">
        <f aca="false">QUARTILE(K3:K21,3)</f>
        <v>1</v>
      </c>
      <c r="L24" s="6" t="n">
        <f aca="false">QUARTILE(L3:L21,3)</f>
        <v>1.10478264660492</v>
      </c>
      <c r="M24" s="6" t="n">
        <f aca="false">QUARTILE(M3:M21,3)</f>
        <v>1.11794135627657</v>
      </c>
      <c r="N24" s="6" t="n">
        <f aca="false">QUARTILE(N3:N21,3)</f>
        <v>1.15239064933733</v>
      </c>
      <c r="O24" s="6" t="n">
        <f aca="false">QUARTILE(O3:O21,3)</f>
        <v>1.14146204881575</v>
      </c>
      <c r="P24" s="6" t="n">
        <f aca="false">QUARTILE(P3:P21,3)</f>
        <v>1.19108718539991</v>
      </c>
      <c r="Q24" s="6" t="n">
        <f aca="false">QUARTILE(Q3:Q21,3)</f>
        <v>1.2268678226122</v>
      </c>
    </row>
    <row r="27" customFormat="false" ht="15" hidden="false" customHeight="false" outlineLevel="0" collapsed="false">
      <c r="A27" s="1" t="s">
        <v>19</v>
      </c>
    </row>
    <row r="28" customFormat="false" ht="15" hidden="false" customHeight="false" outlineLevel="0" collapsed="false">
      <c r="A28" s="3" t="s">
        <v>13</v>
      </c>
      <c r="B28" s="3" t="s">
        <v>14</v>
      </c>
      <c r="C28" s="3" t="s">
        <v>93</v>
      </c>
      <c r="D28" s="3" t="s">
        <v>94</v>
      </c>
      <c r="E28" s="3" t="s">
        <v>95</v>
      </c>
      <c r="F28" s="3" t="s">
        <v>96</v>
      </c>
      <c r="G28" s="3" t="s">
        <v>97</v>
      </c>
      <c r="H28" s="3" t="s">
        <v>98</v>
      </c>
      <c r="I28" s="3" t="s">
        <v>99</v>
      </c>
      <c r="J28" s="3"/>
      <c r="K28" s="3" t="s">
        <v>100</v>
      </c>
      <c r="L28" s="3" t="s">
        <v>101</v>
      </c>
      <c r="M28" s="3" t="s">
        <v>102</v>
      </c>
      <c r="N28" s="3" t="s">
        <v>103</v>
      </c>
      <c r="O28" s="3" t="s">
        <v>104</v>
      </c>
      <c r="P28" s="3" t="s">
        <v>105</v>
      </c>
      <c r="Q28" s="3" t="s">
        <v>106</v>
      </c>
    </row>
    <row r="29" customFormat="false" ht="15" hidden="false" customHeight="false" outlineLevel="0" collapsed="false">
      <c r="A29" s="2" t="n">
        <v>1002301</v>
      </c>
      <c r="B29" s="2" t="s">
        <v>39</v>
      </c>
      <c r="C29" s="4" t="n">
        <f aca="false">SUMIFS(EPA_panel!G:G,EPA_panel!A:A,$A29,EPA_panel!D:D,2017)</f>
        <v>7787715.1</v>
      </c>
      <c r="D29" s="4" t="n">
        <f aca="false">SUMIFS(EPA_panel!G:G,EPA_panel!A:A,$A29,EPA_panel!D:D,2018)</f>
        <v>7484069.7</v>
      </c>
      <c r="E29" s="4" t="n">
        <f aca="false">SUMIFS(EPA_panel!G:G,EPA_panel!A:A,$A29,EPA_panel!D:D,2019)</f>
        <v>8016286</v>
      </c>
      <c r="F29" s="4" t="n">
        <f aca="false">SUMIFS(EPA_panel!G:G,EPA_panel!A:A,$A29,EPA_panel!D:D,2020)</f>
        <v>7649699.4</v>
      </c>
      <c r="G29" s="4" t="n">
        <f aca="false">SUMIFS(EPA_panel!G:G,EPA_panel!A:A,$A29,EPA_panel!D:D,2021)</f>
        <v>7206879.8</v>
      </c>
      <c r="H29" s="4" t="n">
        <f aca="false">SUMIFS(EPA_panel!G:G,EPA_panel!A:A,$A29,EPA_panel!D:D,2022)</f>
        <v>7827402</v>
      </c>
      <c r="I29" s="4" t="n">
        <f aca="false">SUMIFS(EPA_panel!G:G,EPA_panel!A:A,$A29,EPA_panel!D:D,2023)</f>
        <v>7752761.9</v>
      </c>
      <c r="K29" s="5" t="n">
        <f aca="false">IF($C29=0,"",C29/$C29)</f>
        <v>1</v>
      </c>
      <c r="L29" s="5" t="n">
        <f aca="false">IF($C29=0,"",D29/$C29)</f>
        <v>0.961009693330975</v>
      </c>
      <c r="M29" s="5" t="n">
        <f aca="false">IF($C29=0,"",E29/$C29)</f>
        <v>1.02935018770782</v>
      </c>
      <c r="N29" s="5" t="n">
        <f aca="false">IF($C29=0,"",F29/$C29)</f>
        <v>0.982277767197724</v>
      </c>
      <c r="O29" s="5" t="n">
        <f aca="false">IF($C29=0,"",G29/$C29)</f>
        <v>0.925416467790405</v>
      </c>
      <c r="P29" s="5" t="n">
        <f aca="false">IF($C29=0,"",H29/$C29)</f>
        <v>1.00509609037958</v>
      </c>
      <c r="Q29" s="5" t="n">
        <f aca="false">IF($C29=0,"",I29/$C29)</f>
        <v>0.995511751579099</v>
      </c>
    </row>
    <row r="30" customFormat="false" ht="15" hidden="false" customHeight="false" outlineLevel="0" collapsed="false">
      <c r="A30" s="2" t="n">
        <v>1006005</v>
      </c>
      <c r="B30" s="2" t="s">
        <v>71</v>
      </c>
      <c r="C30" s="4" t="n">
        <f aca="false">SUMIFS(EPA_panel!G:G,EPA_panel!A:A,$A30,EPA_panel!D:D,2017)</f>
        <v>2343845.5</v>
      </c>
      <c r="D30" s="4" t="n">
        <f aca="false">SUMIFS(EPA_panel!G:G,EPA_panel!A:A,$A30,EPA_panel!D:D,2018)</f>
        <v>2486125.8</v>
      </c>
      <c r="E30" s="4" t="n">
        <f aca="false">SUMIFS(EPA_panel!G:G,EPA_panel!A:A,$A30,EPA_panel!D:D,2019)</f>
        <v>2432398.8</v>
      </c>
      <c r="F30" s="4" t="n">
        <f aca="false">SUMIFS(EPA_panel!G:G,EPA_panel!A:A,$A30,EPA_panel!D:D,2020)</f>
        <v>2499053.3</v>
      </c>
      <c r="G30" s="4" t="n">
        <f aca="false">SUMIFS(EPA_panel!G:G,EPA_panel!A:A,$A30,EPA_panel!D:D,2021)</f>
        <v>2223422</v>
      </c>
      <c r="H30" s="4" t="n">
        <f aca="false">SUMIFS(EPA_panel!G:G,EPA_panel!A:A,$A30,EPA_panel!D:D,2022)</f>
        <v>2563756</v>
      </c>
      <c r="I30" s="4" t="n">
        <f aca="false">SUMIFS(EPA_panel!G:G,EPA_panel!A:A,$A30,EPA_panel!D:D,2023)</f>
        <v>2599267.7</v>
      </c>
      <c r="K30" s="5" t="n">
        <f aca="false">IF($C30=0,"",C30/$C30)</f>
        <v>1</v>
      </c>
      <c r="L30" s="5" t="n">
        <f aca="false">IF($C30=0,"",D30/$C30)</f>
        <v>1.06070378785632</v>
      </c>
      <c r="M30" s="5" t="n">
        <f aca="false">IF($C30=0,"",E30/$C30)</f>
        <v>1.03778120187529</v>
      </c>
      <c r="N30" s="5" t="n">
        <f aca="false">IF($C30=0,"",F30/$C30)</f>
        <v>1.06621929645107</v>
      </c>
      <c r="O30" s="5" t="n">
        <f aca="false">IF($C30=0,"",G30/$C30)</f>
        <v>0.948621400173348</v>
      </c>
      <c r="P30" s="5" t="n">
        <f aca="false">IF($C30=0,"",H30/$C30)</f>
        <v>1.09382465695798</v>
      </c>
      <c r="Q30" s="5" t="n">
        <f aca="false">IF($C30=0,"",I30/$C30)</f>
        <v>1.10897569827021</v>
      </c>
    </row>
    <row r="31" customFormat="false" ht="15" hidden="false" customHeight="false" outlineLevel="0" collapsed="false">
      <c r="A31" s="2" t="n">
        <v>1002170</v>
      </c>
      <c r="B31" s="2" t="s">
        <v>31</v>
      </c>
      <c r="C31" s="4" t="n">
        <f aca="false">SUMIFS(EPA_panel!G:G,EPA_panel!A:A,$A31,EPA_panel!D:D,2017)</f>
        <v>1342328.1</v>
      </c>
      <c r="D31" s="4" t="n">
        <f aca="false">SUMIFS(EPA_panel!G:G,EPA_panel!A:A,$A31,EPA_panel!D:D,2018)</f>
        <v>1260937.6</v>
      </c>
      <c r="E31" s="4" t="n">
        <f aca="false">SUMIFS(EPA_panel!G:G,EPA_panel!A:A,$A31,EPA_panel!D:D,2019)</f>
        <v>1478071.4</v>
      </c>
      <c r="F31" s="4" t="n">
        <f aca="false">SUMIFS(EPA_panel!G:G,EPA_panel!A:A,$A31,EPA_panel!D:D,2020)</f>
        <v>1451330.3</v>
      </c>
      <c r="G31" s="4" t="n">
        <f aca="false">SUMIFS(EPA_panel!G:G,EPA_panel!A:A,$A31,EPA_panel!D:D,2021)</f>
        <v>1423149.6</v>
      </c>
      <c r="H31" s="4" t="n">
        <f aca="false">SUMIFS(EPA_panel!G:G,EPA_panel!A:A,$A31,EPA_panel!D:D,2022)</f>
        <v>1176218.5</v>
      </c>
      <c r="I31" s="4" t="n">
        <f aca="false">SUMIFS(EPA_panel!G:G,EPA_panel!A:A,$A31,EPA_panel!D:D,2023)</f>
        <v>1401416.2</v>
      </c>
      <c r="K31" s="5" t="n">
        <f aca="false">IF($C31=0,"",C31/$C31)</f>
        <v>1</v>
      </c>
      <c r="L31" s="5" t="n">
        <f aca="false">IF($C31=0,"",D31/$C31)</f>
        <v>0.939366165395778</v>
      </c>
      <c r="M31" s="5" t="n">
        <f aca="false">IF($C31=0,"",E31/$C31)</f>
        <v>1.10112527630167</v>
      </c>
      <c r="N31" s="5" t="n">
        <f aca="false">IF($C31=0,"",F31/$C31)</f>
        <v>1.08120384278628</v>
      </c>
      <c r="O31" s="5" t="n">
        <f aca="false">IF($C31=0,"",G31/$C31)</f>
        <v>1.06020994420068</v>
      </c>
      <c r="P31" s="5" t="n">
        <f aca="false">IF($C31=0,"",H31/$C31)</f>
        <v>0.876252609179529</v>
      </c>
      <c r="Q31" s="5" t="n">
        <f aca="false">IF($C31=0,"",I31/$C31)</f>
        <v>1.04401911872366</v>
      </c>
    </row>
    <row r="32" customFormat="false" ht="15" hidden="false" customHeight="false" outlineLevel="0" collapsed="false">
      <c r="A32" s="2" t="n">
        <v>1002407</v>
      </c>
      <c r="B32" s="2" t="s">
        <v>43</v>
      </c>
      <c r="C32" s="4" t="n">
        <f aca="false">SUMIFS(EPA_panel!G:G,EPA_panel!A:A,$A32,EPA_panel!D:D,2017)</f>
        <v>1671272.5</v>
      </c>
      <c r="D32" s="4" t="n">
        <f aca="false">SUMIFS(EPA_panel!G:G,EPA_panel!A:A,$A32,EPA_panel!D:D,2018)</f>
        <v>1844749.7</v>
      </c>
      <c r="E32" s="4" t="n">
        <f aca="false">SUMIFS(EPA_panel!G:G,EPA_panel!A:A,$A32,EPA_panel!D:D,2019)</f>
        <v>2203259.2</v>
      </c>
      <c r="F32" s="4" t="n">
        <f aca="false">SUMIFS(EPA_panel!G:G,EPA_panel!A:A,$A32,EPA_panel!D:D,2020)</f>
        <v>2357971.3</v>
      </c>
      <c r="G32" s="4" t="n">
        <f aca="false">SUMIFS(EPA_panel!G:G,EPA_panel!A:A,$A32,EPA_panel!D:D,2021)</f>
        <v>2122834.9</v>
      </c>
      <c r="H32" s="4" t="n">
        <f aca="false">SUMIFS(EPA_panel!G:G,EPA_panel!A:A,$A32,EPA_panel!D:D,2022)</f>
        <v>2286677.8</v>
      </c>
      <c r="I32" s="4" t="n">
        <f aca="false">SUMIFS(EPA_panel!G:G,EPA_panel!A:A,$A32,EPA_panel!D:D,2023)</f>
        <v>2378753.4</v>
      </c>
      <c r="K32" s="5" t="n">
        <f aca="false">IF($C32=0,"",C32/$C32)</f>
        <v>1</v>
      </c>
      <c r="L32" s="5" t="n">
        <f aca="false">IF($C32=0,"",D32/$C32)</f>
        <v>1.1037994701642</v>
      </c>
      <c r="M32" s="5" t="n">
        <f aca="false">IF($C32=0,"",E32/$C32)</f>
        <v>1.31831236378269</v>
      </c>
      <c r="N32" s="5" t="n">
        <f aca="false">IF($C32=0,"",F32/$C32)</f>
        <v>1.41088380261148</v>
      </c>
      <c r="O32" s="5" t="n">
        <f aca="false">IF($C32=0,"",G32/$C32)</f>
        <v>1.27019076781315</v>
      </c>
      <c r="P32" s="5" t="n">
        <f aca="false">IF($C32=0,"",H32/$C32)</f>
        <v>1.36822558858594</v>
      </c>
      <c r="Q32" s="5" t="n">
        <f aca="false">IF($C32=0,"",I32/$C32)</f>
        <v>1.42331869877593</v>
      </c>
    </row>
    <row r="33" customFormat="false" ht="15" hidden="false" customHeight="false" outlineLevel="0" collapsed="false">
      <c r="A33" s="2" t="n">
        <v>1002275</v>
      </c>
      <c r="B33" s="2" t="s">
        <v>37</v>
      </c>
      <c r="C33" s="4" t="n">
        <f aca="false">SUMIFS(EPA_panel!G:G,EPA_panel!A:A,$A33,EPA_panel!D:D,2017)</f>
        <v>2294003.7</v>
      </c>
      <c r="D33" s="4" t="n">
        <f aca="false">SUMIFS(EPA_panel!G:G,EPA_panel!A:A,$A33,EPA_panel!D:D,2018)</f>
        <v>2223728.5</v>
      </c>
      <c r="E33" s="4" t="n">
        <f aca="false">SUMIFS(EPA_panel!G:G,EPA_panel!A:A,$A33,EPA_panel!D:D,2019)</f>
        <v>2075193.4</v>
      </c>
      <c r="F33" s="4" t="n">
        <f aca="false">SUMIFS(EPA_panel!G:G,EPA_panel!A:A,$A33,EPA_panel!D:D,2020)</f>
        <v>2273412.5</v>
      </c>
      <c r="G33" s="4" t="n">
        <f aca="false">SUMIFS(EPA_panel!G:G,EPA_panel!A:A,$A33,EPA_panel!D:D,2021)</f>
        <v>2048312.7</v>
      </c>
      <c r="H33" s="4" t="n">
        <f aca="false">SUMIFS(EPA_panel!G:G,EPA_panel!A:A,$A33,EPA_panel!D:D,2022)</f>
        <v>2226326.9</v>
      </c>
      <c r="I33" s="4" t="n">
        <f aca="false">SUMIFS(EPA_panel!G:G,EPA_panel!A:A,$A33,EPA_panel!D:D,2023)</f>
        <v>2106706.9</v>
      </c>
      <c r="K33" s="5" t="n">
        <f aca="false">IF($C33=0,"",C33/$C33)</f>
        <v>1</v>
      </c>
      <c r="L33" s="5" t="n">
        <f aca="false">IF($C33=0,"",D33/$C33)</f>
        <v>0.969365698930651</v>
      </c>
      <c r="M33" s="5" t="n">
        <f aca="false">IF($C33=0,"",E33/$C33)</f>
        <v>0.904616413652689</v>
      </c>
      <c r="N33" s="5" t="n">
        <f aca="false">IF($C33=0,"",F33/$C33)</f>
        <v>0.99102390288211</v>
      </c>
      <c r="O33" s="5" t="n">
        <f aca="false">IF($C33=0,"",G33/$C33)</f>
        <v>0.892898603432941</v>
      </c>
      <c r="P33" s="5" t="n">
        <f aca="false">IF($C33=0,"",H33/$C33)</f>
        <v>0.970498391088035</v>
      </c>
      <c r="Q33" s="5" t="n">
        <f aca="false">IF($C33=0,"",I33/$C33)</f>
        <v>0.918353749821763</v>
      </c>
    </row>
    <row r="34" customFormat="false" ht="15" hidden="false" customHeight="false" outlineLevel="0" collapsed="false">
      <c r="A34" s="2" t="n">
        <v>1004340</v>
      </c>
      <c r="B34" s="2" t="s">
        <v>60</v>
      </c>
      <c r="C34" s="4" t="n">
        <f aca="false">SUMIFS(EPA_panel!G:G,EPA_panel!A:A,$A34,EPA_panel!D:D,2017)</f>
        <v>1210745.7</v>
      </c>
      <c r="D34" s="4" t="n">
        <f aca="false">SUMIFS(EPA_panel!G:G,EPA_panel!A:A,$A34,EPA_panel!D:D,2018)</f>
        <v>1399563</v>
      </c>
      <c r="E34" s="4" t="n">
        <f aca="false">SUMIFS(EPA_panel!G:G,EPA_panel!A:A,$A34,EPA_panel!D:D,2019)</f>
        <v>1402645.2</v>
      </c>
      <c r="F34" s="4" t="n">
        <f aca="false">SUMIFS(EPA_panel!G:G,EPA_panel!A:A,$A34,EPA_panel!D:D,2020)</f>
        <v>1336687.9</v>
      </c>
      <c r="G34" s="4" t="n">
        <f aca="false">SUMIFS(EPA_panel!G:G,EPA_panel!A:A,$A34,EPA_panel!D:D,2021)</f>
        <v>1429126.7</v>
      </c>
      <c r="H34" s="4" t="n">
        <f aca="false">SUMIFS(EPA_panel!G:G,EPA_panel!A:A,$A34,EPA_panel!D:D,2022)</f>
        <v>1237900.1</v>
      </c>
      <c r="I34" s="4" t="n">
        <f aca="false">SUMIFS(EPA_panel!G:G,EPA_panel!A:A,$A34,EPA_panel!D:D,2023)</f>
        <v>1508047.5</v>
      </c>
      <c r="K34" s="5" t="n">
        <f aca="false">IF($C34=0,"",C34/$C34)</f>
        <v>1</v>
      </c>
      <c r="L34" s="5" t="n">
        <f aca="false">IF($C34=0,"",D34/$C34)</f>
        <v>1.15595124558361</v>
      </c>
      <c r="M34" s="5" t="n">
        <f aca="false">IF($C34=0,"",E34/$C34)</f>
        <v>1.15849694944198</v>
      </c>
      <c r="N34" s="5" t="n">
        <f aca="false">IF($C34=0,"",F34/$C34)</f>
        <v>1.10402035704112</v>
      </c>
      <c r="O34" s="5" t="n">
        <f aca="false">IF($C34=0,"",G34/$C34)</f>
        <v>1.18036900729856</v>
      </c>
      <c r="P34" s="5" t="n">
        <f aca="false">IF($C34=0,"",H34/$C34)</f>
        <v>1.0224278310466</v>
      </c>
      <c r="Q34" s="5" t="n">
        <f aca="false">IF($C34=0,"",I34/$C34)</f>
        <v>1.24555263751918</v>
      </c>
    </row>
    <row r="35" customFormat="false" ht="15" hidden="false" customHeight="false" outlineLevel="0" collapsed="false">
      <c r="A35" s="2" t="n">
        <v>1012918</v>
      </c>
      <c r="B35" s="2" t="s">
        <v>83</v>
      </c>
      <c r="C35" s="4" t="n">
        <f aca="false">SUMIFS(EPA_panel!G:G,EPA_panel!A:A,$A35,EPA_panel!D:D,2017)</f>
        <v>1040008.5</v>
      </c>
      <c r="D35" s="4" t="n">
        <f aca="false">SUMIFS(EPA_panel!G:G,EPA_panel!A:A,$A35,EPA_panel!D:D,2018)</f>
        <v>1683195.8</v>
      </c>
      <c r="E35" s="4" t="n">
        <f aca="false">SUMIFS(EPA_panel!G:G,EPA_panel!A:A,$A35,EPA_panel!D:D,2019)</f>
        <v>1705331.6</v>
      </c>
      <c r="F35" s="4" t="n">
        <f aca="false">SUMIFS(EPA_panel!G:G,EPA_panel!A:A,$A35,EPA_panel!D:D,2020)</f>
        <v>1865463.6</v>
      </c>
      <c r="G35" s="4" t="n">
        <f aca="false">SUMIFS(EPA_panel!G:G,EPA_panel!A:A,$A35,EPA_panel!D:D,2021)</f>
        <v>1472293.2</v>
      </c>
      <c r="H35" s="4" t="n">
        <f aca="false">SUMIFS(EPA_panel!G:G,EPA_panel!A:A,$A35,EPA_panel!D:D,2022)</f>
        <v>1592712.4</v>
      </c>
      <c r="I35" s="4" t="n">
        <f aca="false">SUMIFS(EPA_panel!G:G,EPA_panel!A:A,$A35,EPA_panel!D:D,2023)</f>
        <v>1349388.7</v>
      </c>
      <c r="K35" s="5" t="n">
        <f aca="false">IF($C35=0,"",C35/$C35)</f>
        <v>1</v>
      </c>
      <c r="L35" s="5" t="n">
        <f aca="false">IF($C35=0,"",D35/$C35)</f>
        <v>1.61844427233047</v>
      </c>
      <c r="M35" s="5" t="n">
        <f aca="false">IF($C35=0,"",E35/$C35)</f>
        <v>1.63972852144958</v>
      </c>
      <c r="N35" s="5" t="n">
        <f aca="false">IF($C35=0,"",F35/$C35)</f>
        <v>1.79370033994914</v>
      </c>
      <c r="O35" s="5" t="n">
        <f aca="false">IF($C35=0,"",G35/$C35)</f>
        <v>1.41565496820459</v>
      </c>
      <c r="P35" s="5" t="n">
        <f aca="false">IF($C35=0,"",H35/$C35)</f>
        <v>1.5314417141783</v>
      </c>
      <c r="Q35" s="5" t="n">
        <f aca="false">IF($C35=0,"",I35/$C35)</f>
        <v>1.29747853022355</v>
      </c>
    </row>
    <row r="36" customFormat="false" ht="15" hidden="false" customHeight="false" outlineLevel="0" collapsed="false">
      <c r="A36" s="2" t="n">
        <v>1002229</v>
      </c>
      <c r="B36" s="2" t="s">
        <v>35</v>
      </c>
      <c r="C36" s="4" t="n">
        <f aca="false">SUMIFS(EPA_panel!G:G,EPA_panel!A:A,$A36,EPA_panel!D:D,2017)</f>
        <v>1253835</v>
      </c>
      <c r="D36" s="4" t="n">
        <f aca="false">SUMIFS(EPA_panel!G:G,EPA_panel!A:A,$A36,EPA_panel!D:D,2018)</f>
        <v>1334389.5</v>
      </c>
      <c r="E36" s="4" t="n">
        <f aca="false">SUMIFS(EPA_panel!G:G,EPA_panel!A:A,$A36,EPA_panel!D:D,2019)</f>
        <v>1336378.5</v>
      </c>
      <c r="F36" s="4" t="n">
        <f aca="false">SUMIFS(EPA_panel!G:G,EPA_panel!A:A,$A36,EPA_panel!D:D,2020)</f>
        <v>1169566</v>
      </c>
      <c r="G36" s="4" t="n">
        <f aca="false">SUMIFS(EPA_panel!G:G,EPA_panel!A:A,$A36,EPA_panel!D:D,2021)</f>
        <v>1383886.9</v>
      </c>
      <c r="H36" s="4" t="n">
        <f aca="false">SUMIFS(EPA_panel!G:G,EPA_panel!A:A,$A36,EPA_panel!D:D,2022)</f>
        <v>1386827.2</v>
      </c>
      <c r="I36" s="4" t="n">
        <f aca="false">SUMIFS(EPA_panel!G:G,EPA_panel!A:A,$A36,EPA_panel!D:D,2023)</f>
        <v>1369912</v>
      </c>
      <c r="K36" s="5" t="n">
        <f aca="false">IF($C36=0,"",C36/$C36)</f>
        <v>1</v>
      </c>
      <c r="L36" s="5" t="n">
        <f aca="false">IF($C36=0,"",D36/$C36)</f>
        <v>1.06424649176327</v>
      </c>
      <c r="M36" s="5" t="n">
        <f aca="false">IF($C36=0,"",E36/$C36)</f>
        <v>1.06583282489323</v>
      </c>
      <c r="N36" s="5" t="n">
        <f aca="false">IF($C36=0,"",F36/$C36)</f>
        <v>0.932790997220527</v>
      </c>
      <c r="O36" s="5" t="n">
        <f aca="false">IF($C36=0,"",G36/$C36)</f>
        <v>1.10372329692503</v>
      </c>
      <c r="P36" s="5" t="n">
        <f aca="false">IF($C36=0,"",H36/$C36)</f>
        <v>1.10606834232574</v>
      </c>
      <c r="Q36" s="5" t="n">
        <f aca="false">IF($C36=0,"",I36/$C36)</f>
        <v>1.09257757200908</v>
      </c>
    </row>
    <row r="37" customFormat="false" ht="15" hidden="false" customHeight="false" outlineLevel="0" collapsed="false">
      <c r="A37" s="2" t="n">
        <v>1004183</v>
      </c>
      <c r="B37" s="2" t="s">
        <v>58</v>
      </c>
      <c r="C37" s="4" t="n">
        <f aca="false">SUMIFS(EPA_panel!G:G,EPA_panel!A:A,$A37,EPA_panel!D:D,2017)</f>
        <v>1085674.2</v>
      </c>
      <c r="D37" s="4" t="n">
        <f aca="false">SUMIFS(EPA_panel!G:G,EPA_panel!A:A,$A37,EPA_panel!D:D,2018)</f>
        <v>1109401.2</v>
      </c>
      <c r="E37" s="4" t="n">
        <f aca="false">SUMIFS(EPA_panel!G:G,EPA_panel!A:A,$A37,EPA_panel!D:D,2019)</f>
        <v>1081106.4</v>
      </c>
      <c r="F37" s="4" t="n">
        <f aca="false">SUMIFS(EPA_panel!G:G,EPA_panel!A:A,$A37,EPA_panel!D:D,2020)</f>
        <v>1164134.6</v>
      </c>
      <c r="G37" s="4" t="n">
        <f aca="false">SUMIFS(EPA_panel!G:G,EPA_panel!A:A,$A37,EPA_panel!D:D,2021)</f>
        <v>1111678.8</v>
      </c>
      <c r="H37" s="4" t="n">
        <f aca="false">SUMIFS(EPA_panel!G:G,EPA_panel!A:A,$A37,EPA_panel!D:D,2022)</f>
        <v>1131049.4</v>
      </c>
      <c r="I37" s="4" t="n">
        <f aca="false">SUMIFS(EPA_panel!G:G,EPA_panel!A:A,$A37,EPA_panel!D:D,2023)</f>
        <v>1135406.3</v>
      </c>
      <c r="K37" s="5" t="n">
        <f aca="false">IF($C37=0,"",C37/$C37)</f>
        <v>1</v>
      </c>
      <c r="L37" s="5" t="n">
        <f aca="false">IF($C37=0,"",D37/$C37)</f>
        <v>1.02185462268515</v>
      </c>
      <c r="M37" s="5" t="n">
        <f aca="false">IF($C37=0,"",E37/$C37)</f>
        <v>0.995792660450069</v>
      </c>
      <c r="N37" s="5" t="n">
        <f aca="false">IF($C37=0,"",F37/$C37)</f>
        <v>1.07226882613587</v>
      </c>
      <c r="O37" s="5" t="n">
        <f aca="false">IF($C37=0,"",G37/$C37)</f>
        <v>1.02395248961429</v>
      </c>
      <c r="P37" s="5" t="n">
        <f aca="false">IF($C37=0,"",H37/$C37)</f>
        <v>1.041794490465</v>
      </c>
      <c r="Q37" s="5" t="n">
        <f aca="false">IF($C37=0,"",I37/$C37)</f>
        <v>1.04580757284276</v>
      </c>
    </row>
    <row r="38" customFormat="false" ht="15" hidden="false" customHeight="false" outlineLevel="0" collapsed="false">
      <c r="A38" s="2" t="n">
        <v>1003993</v>
      </c>
      <c r="B38" s="2" t="s">
        <v>56</v>
      </c>
      <c r="C38" s="4" t="n">
        <f aca="false">SUMIFS(EPA_panel!G:G,EPA_panel!A:A,$A38,EPA_panel!D:D,2017)</f>
        <v>742711.2</v>
      </c>
      <c r="D38" s="4" t="n">
        <f aca="false">SUMIFS(EPA_panel!G:G,EPA_panel!A:A,$A38,EPA_panel!D:D,2018)</f>
        <v>815922.5</v>
      </c>
      <c r="E38" s="4" t="n">
        <f aca="false">SUMIFS(EPA_panel!G:G,EPA_panel!A:A,$A38,EPA_panel!D:D,2019)</f>
        <v>833159.1</v>
      </c>
      <c r="F38" s="4" t="n">
        <f aca="false">SUMIFS(EPA_panel!G:G,EPA_panel!A:A,$A38,EPA_panel!D:D,2020)</f>
        <v>887234.3</v>
      </c>
      <c r="G38" s="4" t="n">
        <f aca="false">SUMIFS(EPA_panel!G:G,EPA_panel!A:A,$A38,EPA_panel!D:D,2021)</f>
        <v>878075.9</v>
      </c>
      <c r="H38" s="4" t="n">
        <f aca="false">SUMIFS(EPA_panel!G:G,EPA_panel!A:A,$A38,EPA_panel!D:D,2022)</f>
        <v>809343.1</v>
      </c>
      <c r="I38" s="4" t="n">
        <f aca="false">SUMIFS(EPA_panel!G:G,EPA_panel!A:A,$A38,EPA_panel!D:D,2023)</f>
        <v>934092.2</v>
      </c>
      <c r="K38" s="5" t="n">
        <f aca="false">IF($C38=0,"",C38/$C38)</f>
        <v>1</v>
      </c>
      <c r="L38" s="5" t="n">
        <f aca="false">IF($C38=0,"",D38/$C38)</f>
        <v>1.09857303888779</v>
      </c>
      <c r="M38" s="5" t="n">
        <f aca="false">IF($C38=0,"",E38/$C38)</f>
        <v>1.1217807136879</v>
      </c>
      <c r="N38" s="5" t="n">
        <f aca="false">IF($C38=0,"",F38/$C38)</f>
        <v>1.19458855609017</v>
      </c>
      <c r="O38" s="5" t="n">
        <f aca="false">IF($C38=0,"",G38/$C38)</f>
        <v>1.18225751813087</v>
      </c>
      <c r="P38" s="5" t="n">
        <f aca="false">IF($C38=0,"",H38/$C38)</f>
        <v>1.08971441389331</v>
      </c>
      <c r="Q38" s="5" t="n">
        <f aca="false">IF($C38=0,"",I38/$C38)</f>
        <v>1.25767889322256</v>
      </c>
    </row>
    <row r="39" customFormat="false" ht="15" hidden="false" customHeight="false" outlineLevel="0" collapsed="false">
      <c r="A39" s="2" t="n">
        <v>1003489</v>
      </c>
      <c r="B39" s="2" t="s">
        <v>54</v>
      </c>
      <c r="C39" s="4" t="n">
        <f aca="false">SUMIFS(EPA_panel!G:G,EPA_panel!A:A,$A39,EPA_panel!D:D,2017)</f>
        <v>952816.6</v>
      </c>
      <c r="D39" s="4" t="n">
        <f aca="false">SUMIFS(EPA_panel!G:G,EPA_panel!A:A,$A39,EPA_panel!D:D,2018)</f>
        <v>906539.9</v>
      </c>
      <c r="E39" s="4" t="n">
        <f aca="false">SUMIFS(EPA_panel!G:G,EPA_panel!A:A,$A39,EPA_panel!D:D,2019)</f>
        <v>1054759.5</v>
      </c>
      <c r="F39" s="4" t="n">
        <f aca="false">SUMIFS(EPA_panel!G:G,EPA_panel!A:A,$A39,EPA_panel!D:D,2020)</f>
        <v>1031723.3</v>
      </c>
      <c r="G39" s="4" t="n">
        <f aca="false">SUMIFS(EPA_panel!G:G,EPA_panel!A:A,$A39,EPA_panel!D:D,2021)</f>
        <v>998328.3</v>
      </c>
      <c r="H39" s="4" t="n">
        <f aca="false">SUMIFS(EPA_panel!G:G,EPA_panel!A:A,$A39,EPA_panel!D:D,2022)</f>
        <v>1112727.9</v>
      </c>
      <c r="I39" s="4" t="n">
        <f aca="false">SUMIFS(EPA_panel!G:G,EPA_panel!A:A,$A39,EPA_panel!D:D,2023)</f>
        <v>878387.8</v>
      </c>
      <c r="K39" s="5" t="n">
        <f aca="false">IF($C39=0,"",C39/$C39)</f>
        <v>1</v>
      </c>
      <c r="L39" s="5" t="n">
        <f aca="false">IF($C39=0,"",D39/$C39)</f>
        <v>0.951431681605883</v>
      </c>
      <c r="M39" s="5" t="n">
        <f aca="false">IF($C39=0,"",E39/$C39)</f>
        <v>1.10699110405927</v>
      </c>
      <c r="N39" s="5" t="n">
        <f aca="false">IF($C39=0,"",F39/$C39)</f>
        <v>1.08281415332185</v>
      </c>
      <c r="O39" s="5" t="n">
        <f aca="false">IF($C39=0,"",G39/$C39)</f>
        <v>1.04776543565677</v>
      </c>
      <c r="P39" s="5" t="n">
        <f aca="false">IF($C39=0,"",H39/$C39)</f>
        <v>1.16783009447988</v>
      </c>
      <c r="Q39" s="5" t="n">
        <f aca="false">IF($C39=0,"",I39/$C39)</f>
        <v>0.921885491919431</v>
      </c>
    </row>
    <row r="40" customFormat="false" ht="15" hidden="false" customHeight="false" outlineLevel="0" collapsed="false">
      <c r="A40" s="2" t="n">
        <v>1005788</v>
      </c>
      <c r="B40" s="2" t="s">
        <v>67</v>
      </c>
      <c r="C40" s="4" t="n">
        <f aca="false">SUMIFS(EPA_panel!G:G,EPA_panel!A:A,$A40,EPA_panel!D:D,2017)</f>
        <v>851815.3</v>
      </c>
      <c r="D40" s="4" t="n">
        <f aca="false">SUMIFS(EPA_panel!G:G,EPA_panel!A:A,$A40,EPA_panel!D:D,2018)</f>
        <v>962016.5</v>
      </c>
      <c r="E40" s="4" t="n">
        <f aca="false">SUMIFS(EPA_panel!G:G,EPA_panel!A:A,$A40,EPA_panel!D:D,2019)</f>
        <v>858278.1</v>
      </c>
      <c r="F40" s="4" t="n">
        <f aca="false">SUMIFS(EPA_panel!G:G,EPA_panel!A:A,$A40,EPA_panel!D:D,2020)</f>
        <v>1007327.8</v>
      </c>
      <c r="G40" s="4" t="n">
        <f aca="false">SUMIFS(EPA_panel!G:G,EPA_panel!A:A,$A40,EPA_panel!D:D,2021)</f>
        <v>891795</v>
      </c>
      <c r="H40" s="4" t="n">
        <f aca="false">SUMIFS(EPA_panel!G:G,EPA_panel!A:A,$A40,EPA_panel!D:D,2022)</f>
        <v>942378.3</v>
      </c>
      <c r="I40" s="4" t="n">
        <f aca="false">SUMIFS(EPA_panel!G:G,EPA_panel!A:A,$A40,EPA_panel!D:D,2023)</f>
        <v>861840.5</v>
      </c>
      <c r="K40" s="5" t="n">
        <f aca="false">IF($C40=0,"",C40/$C40)</f>
        <v>1</v>
      </c>
      <c r="L40" s="5" t="n">
        <f aca="false">IF($C40=0,"",D40/$C40)</f>
        <v>1.12937217727834</v>
      </c>
      <c r="M40" s="5" t="n">
        <f aca="false">IF($C40=0,"",E40/$C40)</f>
        <v>1.00758709076956</v>
      </c>
      <c r="N40" s="5" t="n">
        <f aca="false">IF($C40=0,"",F40/$C40)</f>
        <v>1.18256598584224</v>
      </c>
      <c r="O40" s="5" t="n">
        <f aca="false">IF($C40=0,"",G40/$C40)</f>
        <v>1.04693470521133</v>
      </c>
      <c r="P40" s="5" t="n">
        <f aca="false">IF($C40=0,"",H40/$C40)</f>
        <v>1.10631764890816</v>
      </c>
      <c r="Q40" s="5" t="n">
        <f aca="false">IF($C40=0,"",I40/$C40)</f>
        <v>1.01176921804527</v>
      </c>
    </row>
    <row r="41" customFormat="false" ht="15" hidden="false" customHeight="false" outlineLevel="0" collapsed="false">
      <c r="A41" s="2" t="n">
        <v>1007046</v>
      </c>
      <c r="B41" s="2" t="s">
        <v>75</v>
      </c>
      <c r="C41" s="4" t="n">
        <f aca="false">SUMIFS(EPA_panel!G:G,EPA_panel!A:A,$A41,EPA_panel!D:D,2017)</f>
        <v>630865.6</v>
      </c>
      <c r="D41" s="4" t="n">
        <f aca="false">SUMIFS(EPA_panel!G:G,EPA_panel!A:A,$A41,EPA_panel!D:D,2018)</f>
        <v>688696.1</v>
      </c>
      <c r="E41" s="4" t="n">
        <f aca="false">SUMIFS(EPA_panel!G:G,EPA_panel!A:A,$A41,EPA_panel!D:D,2019)</f>
        <v>584757.3</v>
      </c>
      <c r="F41" s="4" t="n">
        <f aca="false">SUMIFS(EPA_panel!G:G,EPA_panel!A:A,$A41,EPA_panel!D:D,2020)</f>
        <v>676385.3</v>
      </c>
      <c r="G41" s="4" t="n">
        <f aca="false">SUMIFS(EPA_panel!G:G,EPA_panel!A:A,$A41,EPA_panel!D:D,2021)</f>
        <v>656286.1</v>
      </c>
      <c r="H41" s="4" t="n">
        <f aca="false">SUMIFS(EPA_panel!G:G,EPA_panel!A:A,$A41,EPA_panel!D:D,2022)</f>
        <v>591852</v>
      </c>
      <c r="I41" s="4" t="n">
        <f aca="false">SUMIFS(EPA_panel!G:G,EPA_panel!A:A,$A41,EPA_panel!D:D,2023)</f>
        <v>756856.2</v>
      </c>
      <c r="K41" s="5" t="n">
        <f aca="false">IF($C41=0,"",C41/$C41)</f>
        <v>1</v>
      </c>
      <c r="L41" s="5" t="n">
        <f aca="false">IF($C41=0,"",D41/$C41)</f>
        <v>1.09166849484264</v>
      </c>
      <c r="M41" s="5" t="n">
        <f aca="false">IF($C41=0,"",E41/$C41)</f>
        <v>0.926912641931974</v>
      </c>
      <c r="N41" s="5" t="n">
        <f aca="false">IF($C41=0,"",F41/$C41)</f>
        <v>1.07215435427134</v>
      </c>
      <c r="O41" s="5" t="n">
        <f aca="false">IF($C41=0,"",G41/$C41)</f>
        <v>1.04029463644871</v>
      </c>
      <c r="P41" s="5" t="n">
        <f aca="false">IF($C41=0,"",H41/$C41)</f>
        <v>0.93815861888808</v>
      </c>
      <c r="Q41" s="5" t="n">
        <f aca="false">IF($C41=0,"",I41/$C41)</f>
        <v>1.19971068322635</v>
      </c>
    </row>
    <row r="42" customFormat="false" ht="15" hidden="false" customHeight="false" outlineLevel="0" collapsed="false">
      <c r="A42" s="2" t="n">
        <v>1005502</v>
      </c>
      <c r="B42" s="2" t="s">
        <v>62</v>
      </c>
      <c r="C42" s="4" t="n">
        <f aca="false">SUMIFS(EPA_panel!G:G,EPA_panel!A:A,$A42,EPA_panel!D:D,2017)</f>
        <v>657373</v>
      </c>
      <c r="D42" s="4" t="n">
        <f aca="false">SUMIFS(EPA_panel!G:G,EPA_panel!A:A,$A42,EPA_panel!D:D,2018)</f>
        <v>687356.5</v>
      </c>
      <c r="E42" s="4" t="n">
        <f aca="false">SUMIFS(EPA_panel!G:G,EPA_panel!A:A,$A42,EPA_panel!D:D,2019)</f>
        <v>610389.6</v>
      </c>
      <c r="F42" s="4" t="n">
        <f aca="false">SUMIFS(EPA_panel!G:G,EPA_panel!A:A,$A42,EPA_panel!D:D,2020)</f>
        <v>747122.3</v>
      </c>
      <c r="G42" s="4" t="n">
        <f aca="false">SUMIFS(EPA_panel!G:G,EPA_panel!A:A,$A42,EPA_panel!D:D,2021)</f>
        <v>713798.1</v>
      </c>
      <c r="H42" s="4" t="n">
        <f aca="false">SUMIFS(EPA_panel!G:G,EPA_panel!A:A,$A42,EPA_panel!D:D,2022)</f>
        <v>623635.1</v>
      </c>
      <c r="I42" s="4" t="n">
        <f aca="false">SUMIFS(EPA_panel!G:G,EPA_panel!A:A,$A42,EPA_panel!D:D,2023)</f>
        <v>737494.1</v>
      </c>
      <c r="K42" s="5" t="n">
        <f aca="false">IF($C42=0,"",C42/$C42)</f>
        <v>1</v>
      </c>
      <c r="L42" s="5" t="n">
        <f aca="false">IF($C42=0,"",D42/$C42)</f>
        <v>1.04561109141994</v>
      </c>
      <c r="M42" s="5" t="n">
        <f aca="false">IF($C42=0,"",E42/$C42)</f>
        <v>0.928528552283103</v>
      </c>
      <c r="N42" s="5" t="n">
        <f aca="false">IF($C42=0,"",F42/$C42)</f>
        <v>1.13652720753667</v>
      </c>
      <c r="O42" s="5" t="n">
        <f aca="false">IF($C42=0,"",G42/$C42)</f>
        <v>1.08583422197139</v>
      </c>
      <c r="P42" s="5" t="n">
        <f aca="false">IF($C42=0,"",H42/$C42)</f>
        <v>0.948677691356353</v>
      </c>
      <c r="Q42" s="5" t="n">
        <f aca="false">IF($C42=0,"",I42/$C42)</f>
        <v>1.12188072829277</v>
      </c>
    </row>
    <row r="43" customFormat="false" ht="15" hidden="false" customHeight="false" outlineLevel="0" collapsed="false">
      <c r="A43" s="2" t="n">
        <v>1006575</v>
      </c>
      <c r="B43" s="2" t="s">
        <v>73</v>
      </c>
      <c r="C43" s="4" t="n">
        <f aca="false">SUMIFS(EPA_panel!G:G,EPA_panel!A:A,$A43,EPA_panel!D:D,2017)</f>
        <v>576600.8</v>
      </c>
      <c r="D43" s="4" t="n">
        <f aca="false">SUMIFS(EPA_panel!G:G,EPA_panel!A:A,$A43,EPA_panel!D:D,2018)</f>
        <v>551469.9</v>
      </c>
      <c r="E43" s="4" t="n">
        <f aca="false">SUMIFS(EPA_panel!G:G,EPA_panel!A:A,$A43,EPA_panel!D:D,2019)</f>
        <v>605332.8</v>
      </c>
      <c r="F43" s="4" t="n">
        <f aca="false">SUMIFS(EPA_panel!G:G,EPA_panel!A:A,$A43,EPA_panel!D:D,2020)</f>
        <v>599158</v>
      </c>
      <c r="G43" s="4" t="n">
        <f aca="false">SUMIFS(EPA_panel!G:G,EPA_panel!A:A,$A43,EPA_panel!D:D,2021)</f>
        <v>527322.3</v>
      </c>
      <c r="H43" s="4" t="n">
        <f aca="false">SUMIFS(EPA_panel!G:G,EPA_panel!A:A,$A43,EPA_panel!D:D,2022)</f>
        <v>616094.1</v>
      </c>
      <c r="I43" s="4" t="n">
        <f aca="false">SUMIFS(EPA_panel!G:G,EPA_panel!A:A,$A43,EPA_panel!D:D,2023)</f>
        <v>601869.6</v>
      </c>
      <c r="K43" s="5" t="n">
        <f aca="false">IF($C43=0,"",C43/$C43)</f>
        <v>1</v>
      </c>
      <c r="L43" s="5" t="n">
        <f aca="false">IF($C43=0,"",D43/$C43)</f>
        <v>0.956415426409398</v>
      </c>
      <c r="M43" s="5" t="n">
        <f aca="false">IF($C43=0,"",E43/$C43)</f>
        <v>1.04982996901843</v>
      </c>
      <c r="N43" s="5" t="n">
        <f aca="false">IF($C43=0,"",F43/$C43)</f>
        <v>1.03912100017898</v>
      </c>
      <c r="O43" s="5" t="n">
        <f aca="false">IF($C43=0,"",G43/$C43)</f>
        <v>0.914536192110729</v>
      </c>
      <c r="P43" s="5" t="n">
        <f aca="false">IF($C43=0,"",H43/$C43)</f>
        <v>1.06849331461212</v>
      </c>
      <c r="Q43" s="5" t="n">
        <f aca="false">IF($C43=0,"",I43/$C43)</f>
        <v>1.04382373385538</v>
      </c>
    </row>
    <row r="44" customFormat="false" ht="15" hidden="false" customHeight="false" outlineLevel="0" collapsed="false">
      <c r="A44" s="2" t="n">
        <v>1006037</v>
      </c>
      <c r="B44" s="2" t="s">
        <v>72</v>
      </c>
      <c r="C44" s="4" t="n">
        <f aca="false">SUMIFS(EPA_panel!G:G,EPA_panel!A:A,$A44,EPA_panel!D:D,2017)</f>
        <v>519296.2</v>
      </c>
      <c r="D44" s="4" t="n">
        <f aca="false">SUMIFS(EPA_panel!G:G,EPA_panel!A:A,$A44,EPA_panel!D:D,2018)</f>
        <v>540944.7</v>
      </c>
      <c r="E44" s="4" t="n">
        <f aca="false">SUMIFS(EPA_panel!G:G,EPA_panel!A:A,$A44,EPA_panel!D:D,2019)</f>
        <v>498686.1</v>
      </c>
      <c r="F44" s="4" t="n">
        <f aca="false">SUMIFS(EPA_panel!G:G,EPA_panel!A:A,$A44,EPA_panel!D:D,2020)</f>
        <v>574773.8</v>
      </c>
      <c r="G44" s="4" t="n">
        <f aca="false">SUMIFS(EPA_panel!G:G,EPA_panel!A:A,$A44,EPA_panel!D:D,2021)</f>
        <v>560468.9</v>
      </c>
      <c r="H44" s="4" t="n">
        <f aca="false">SUMIFS(EPA_panel!G:G,EPA_panel!A:A,$A44,EPA_panel!D:D,2022)</f>
        <v>589325.3</v>
      </c>
      <c r="I44" s="4" t="n">
        <f aca="false">SUMIFS(EPA_panel!G:G,EPA_panel!A:A,$A44,EPA_panel!D:D,2023)</f>
        <v>535926</v>
      </c>
      <c r="K44" s="5" t="n">
        <f aca="false">IF($C44=0,"",C44/$C44)</f>
        <v>1</v>
      </c>
      <c r="L44" s="5" t="n">
        <f aca="false">IF($C44=0,"",D44/$C44)</f>
        <v>1.04168815408239</v>
      </c>
      <c r="M44" s="5" t="n">
        <f aca="false">IF($C44=0,"",E44/$C44)</f>
        <v>0.96031147541615</v>
      </c>
      <c r="N44" s="5" t="n">
        <f aca="false">IF($C44=0,"",F44/$C44)</f>
        <v>1.10683228569745</v>
      </c>
      <c r="O44" s="5" t="n">
        <f aca="false">IF($C44=0,"",G44/$C44)</f>
        <v>1.07928557921279</v>
      </c>
      <c r="P44" s="5" t="n">
        <f aca="false">IF($C44=0,"",H44/$C44)</f>
        <v>1.13485386567435</v>
      </c>
      <c r="Q44" s="5" t="n">
        <f aca="false">IF($C44=0,"",I44/$C44)</f>
        <v>1.03202372749887</v>
      </c>
    </row>
    <row r="45" customFormat="false" ht="15" hidden="false" customHeight="false" outlineLevel="0" collapsed="false">
      <c r="A45" s="2" t="n">
        <v>1005867</v>
      </c>
      <c r="B45" s="2" t="s">
        <v>69</v>
      </c>
      <c r="C45" s="4" t="n">
        <f aca="false">SUMIFS(EPA_panel!G:G,EPA_panel!A:A,$A45,EPA_panel!D:D,2017)</f>
        <v>253717.4</v>
      </c>
      <c r="D45" s="4" t="n">
        <f aca="false">SUMIFS(EPA_panel!G:G,EPA_panel!A:A,$A45,EPA_panel!D:D,2018)</f>
        <v>323513.3</v>
      </c>
      <c r="E45" s="4" t="n">
        <f aca="false">SUMIFS(EPA_panel!G:G,EPA_panel!A:A,$A45,EPA_panel!D:D,2019)</f>
        <v>274410.8</v>
      </c>
      <c r="F45" s="4" t="n">
        <f aca="false">SUMIFS(EPA_panel!G:G,EPA_panel!A:A,$A45,EPA_panel!D:D,2020)</f>
        <v>324257.9</v>
      </c>
      <c r="G45" s="4" t="n">
        <f aca="false">SUMIFS(EPA_panel!G:G,EPA_panel!A:A,$A45,EPA_panel!D:D,2021)</f>
        <v>294836.4</v>
      </c>
      <c r="H45" s="4" t="n">
        <f aca="false">SUMIFS(EPA_panel!G:G,EPA_panel!A:A,$A45,EPA_panel!D:D,2022)</f>
        <v>303015.1</v>
      </c>
      <c r="I45" s="4" t="n">
        <f aca="false">SUMIFS(EPA_panel!G:G,EPA_panel!A:A,$A45,EPA_panel!D:D,2023)</f>
        <v>348756.3</v>
      </c>
      <c r="K45" s="5" t="n">
        <f aca="false">IF($C45=0,"",C45/$C45)</f>
        <v>1</v>
      </c>
      <c r="L45" s="5" t="n">
        <f aca="false">IF($C45=0,"",D45/$C45)</f>
        <v>1.27509307599715</v>
      </c>
      <c r="M45" s="5" t="n">
        <f aca="false">IF($C45=0,"",E45/$C45)</f>
        <v>1.08156082318359</v>
      </c>
      <c r="N45" s="5" t="n">
        <f aca="false">IF($C45=0,"",F45/$C45)</f>
        <v>1.27802783727092</v>
      </c>
      <c r="O45" s="5" t="n">
        <f aca="false">IF($C45=0,"",G45/$C45)</f>
        <v>1.16206614130525</v>
      </c>
      <c r="P45" s="5" t="n">
        <f aca="false">IF($C45=0,"",H45/$C45)</f>
        <v>1.19430161273921</v>
      </c>
      <c r="Q45" s="5" t="n">
        <f aca="false">IF($C45=0,"",I45/$C45)</f>
        <v>1.37458566105439</v>
      </c>
    </row>
    <row r="46" customFormat="false" ht="15" hidden="false" customHeight="false" outlineLevel="0" collapsed="false">
      <c r="A46" s="2" t="n">
        <v>1007770</v>
      </c>
      <c r="B46" s="2" t="s">
        <v>76</v>
      </c>
      <c r="C46" s="4" t="n">
        <f aca="false">SUMIFS(EPA_panel!G:G,EPA_panel!A:A,$A46,EPA_panel!D:D,2017)</f>
        <v>316950.7</v>
      </c>
      <c r="D46" s="4" t="n">
        <f aca="false">SUMIFS(EPA_panel!G:G,EPA_panel!A:A,$A46,EPA_panel!D:D,2018)</f>
        <v>264141.5</v>
      </c>
      <c r="E46" s="4" t="n">
        <f aca="false">SUMIFS(EPA_panel!G:G,EPA_panel!A:A,$A46,EPA_panel!D:D,2019)</f>
        <v>303798.8</v>
      </c>
      <c r="F46" s="4" t="n">
        <f aca="false">SUMIFS(EPA_panel!G:G,EPA_panel!A:A,$A46,EPA_panel!D:D,2020)</f>
        <v>319108.7</v>
      </c>
      <c r="G46" s="4" t="n">
        <f aca="false">SUMIFS(EPA_panel!G:G,EPA_panel!A:A,$A46,EPA_panel!D:D,2021)</f>
        <v>279606.8</v>
      </c>
      <c r="H46" s="4" t="n">
        <f aca="false">SUMIFS(EPA_panel!G:G,EPA_panel!A:A,$A46,EPA_panel!D:D,2022)</f>
        <v>306200.2</v>
      </c>
      <c r="I46" s="4" t="n">
        <f aca="false">SUMIFS(EPA_panel!G:G,EPA_panel!A:A,$A46,EPA_panel!D:D,2023)</f>
        <v>315293.1</v>
      </c>
      <c r="K46" s="5" t="n">
        <f aca="false">IF($C46=0,"",C46/$C46)</f>
        <v>1</v>
      </c>
      <c r="L46" s="5" t="n">
        <f aca="false">IF($C46=0,"",D46/$C46)</f>
        <v>0.833383551448222</v>
      </c>
      <c r="M46" s="5" t="n">
        <f aca="false">IF($C46=0,"",E46/$C46)</f>
        <v>0.958504903128468</v>
      </c>
      <c r="N46" s="5" t="n">
        <f aca="false">IF($C46=0,"",F46/$C46)</f>
        <v>1.00680862985947</v>
      </c>
      <c r="O46" s="5" t="n">
        <f aca="false">IF($C46=0,"",G46/$C46)</f>
        <v>0.882177575250662</v>
      </c>
      <c r="P46" s="5" t="n">
        <f aca="false">IF($C46=0,"",H46/$C46)</f>
        <v>0.966081475762634</v>
      </c>
      <c r="Q46" s="5" t="n">
        <f aca="false">IF($C46=0,"",I46/$C46)</f>
        <v>0.994770164571335</v>
      </c>
    </row>
    <row r="47" customFormat="false" ht="15" hidden="false" customHeight="false" outlineLevel="0" collapsed="false">
      <c r="A47" s="2" t="n">
        <v>1005924</v>
      </c>
      <c r="B47" s="2" t="s">
        <v>70</v>
      </c>
      <c r="C47" s="4" t="n">
        <f aca="false">SUMIFS(EPA_panel!G:G,EPA_panel!A:A,$A47,EPA_panel!D:D,2017)</f>
        <v>320025.3</v>
      </c>
      <c r="D47" s="4" t="n">
        <f aca="false">SUMIFS(EPA_panel!G:G,EPA_panel!A:A,$A47,EPA_panel!D:D,2018)</f>
        <v>384022.4</v>
      </c>
      <c r="E47" s="4" t="n">
        <f aca="false">SUMIFS(EPA_panel!G:G,EPA_panel!A:A,$A47,EPA_panel!D:D,2019)</f>
        <v>380135</v>
      </c>
      <c r="F47" s="4" t="n">
        <f aca="false">SUMIFS(EPA_panel!G:G,EPA_panel!A:A,$A47,EPA_panel!D:D,2020)</f>
        <v>380310.2</v>
      </c>
      <c r="G47" s="4" t="n">
        <f aca="false">SUMIFS(EPA_panel!G:G,EPA_panel!A:A,$A47,EPA_panel!D:D,2021)</f>
        <v>381477</v>
      </c>
      <c r="H47" s="4" t="n">
        <f aca="false">SUMIFS(EPA_panel!G:G,EPA_panel!A:A,$A47,EPA_panel!D:D,2022)</f>
        <v>382385.3</v>
      </c>
      <c r="I47" s="4" t="n">
        <f aca="false">SUMIFS(EPA_panel!G:G,EPA_panel!A:A,$A47,EPA_panel!D:D,2023)</f>
        <v>318598.3</v>
      </c>
      <c r="K47" s="5" t="n">
        <f aca="false">IF($C47=0,"",C47/$C47)</f>
        <v>1</v>
      </c>
      <c r="L47" s="5" t="n">
        <f aca="false">IF($C47=0,"",D47/$C47)</f>
        <v>1.19997512696652</v>
      </c>
      <c r="M47" s="5" t="n">
        <f aca="false">IF($C47=0,"",E47/$C47)</f>
        <v>1.18782796235173</v>
      </c>
      <c r="N47" s="5" t="n">
        <f aca="false">IF($C47=0,"",F47/$C47)</f>
        <v>1.18837541906843</v>
      </c>
      <c r="O47" s="5" t="n">
        <f aca="false">IF($C47=0,"",G47/$C47)</f>
        <v>1.19202138080958</v>
      </c>
      <c r="P47" s="5" t="n">
        <f aca="false">IF($C47=0,"",H47/$C47)</f>
        <v>1.19485959391336</v>
      </c>
      <c r="Q47" s="5" t="n">
        <f aca="false">IF($C47=0,"",I47/$C47)</f>
        <v>0.995540977541463</v>
      </c>
    </row>
    <row r="48" customFormat="false" ht="15" hidden="false" customHeight="false" outlineLevel="0" collapsed="false">
      <c r="B48" s="1" t="s">
        <v>88</v>
      </c>
      <c r="K48" s="6" t="n">
        <f aca="false">QUARTILE(K29:K47,1)</f>
        <v>1</v>
      </c>
      <c r="L48" s="6" t="n">
        <f aca="false">QUARTILE(L29:L47,1)</f>
        <v>0.965187696130813</v>
      </c>
      <c r="M48" s="6" t="n">
        <f aca="false">QUARTILE(M29:M47,1)</f>
        <v>0.978052067933109</v>
      </c>
      <c r="N48" s="6" t="n">
        <f aca="false">QUARTILE(N29:N47,1)</f>
        <v>1.05267014831502</v>
      </c>
      <c r="O48" s="6" t="n">
        <f aca="false">QUARTILE(O29:O47,1)</f>
        <v>0.986286944893818</v>
      </c>
      <c r="P48" s="6" t="n">
        <f aca="false">QUARTILE(P29:P47,1)</f>
        <v>0.987797240733806</v>
      </c>
      <c r="Q48" s="6" t="n">
        <f aca="false">QUARTILE(Q29:Q47,1)</f>
        <v>1.00365509779337</v>
      </c>
    </row>
    <row r="49" customFormat="false" ht="15" hidden="false" customHeight="false" outlineLevel="0" collapsed="false">
      <c r="B49" s="1" t="s">
        <v>89</v>
      </c>
      <c r="K49" s="6" t="n">
        <f aca="false">MEDIAN(K29:K47)</f>
        <v>1</v>
      </c>
      <c r="L49" s="6" t="n">
        <f aca="false">MEDIAN(L29:L47)</f>
        <v>1.06070378785632</v>
      </c>
      <c r="M49" s="6" t="n">
        <f aca="false">MEDIAN(M29:M47)</f>
        <v>1.04982996901843</v>
      </c>
      <c r="N49" s="6" t="n">
        <f aca="false">MEDIAN(N29:N47)</f>
        <v>1.08281415332185</v>
      </c>
      <c r="O49" s="6" t="n">
        <f aca="false">MEDIAN(O29:O47)</f>
        <v>1.06020994420068</v>
      </c>
      <c r="P49" s="6" t="n">
        <f aca="false">MEDIAN(P29:P47)</f>
        <v>1.08971441389331</v>
      </c>
      <c r="Q49" s="6" t="n">
        <f aca="false">MEDIAN(Q29:Q47)</f>
        <v>1.04580757284276</v>
      </c>
    </row>
    <row r="50" customFormat="false" ht="15" hidden="false" customHeight="false" outlineLevel="0" collapsed="false">
      <c r="B50" s="1" t="s">
        <v>90</v>
      </c>
      <c r="K50" s="6" t="n">
        <f aca="false">QUARTILE(K29:K47,3)</f>
        <v>1</v>
      </c>
      <c r="L50" s="6" t="n">
        <f aca="false">QUARTILE(L29:L47,3)</f>
        <v>1.11658582372127</v>
      </c>
      <c r="M50" s="6" t="n">
        <f aca="false">QUARTILE(M29:M47,3)</f>
        <v>1.11438590887359</v>
      </c>
      <c r="N50" s="6" t="n">
        <f aca="false">QUARTILE(N29:N47,3)</f>
        <v>1.18547070245533</v>
      </c>
      <c r="O50" s="6" t="n">
        <f aca="false">QUARTILE(O29:O47,3)</f>
        <v>1.1712175743019</v>
      </c>
      <c r="P50" s="6" t="n">
        <f aca="false">QUARTILE(P29:P47,3)</f>
        <v>1.15134198007712</v>
      </c>
      <c r="Q50" s="6" t="n">
        <f aca="false">QUARTILE(Q29:Q47,3)</f>
        <v>1.22263166037276</v>
      </c>
    </row>
    <row r="53" customFormat="false" ht="15" hidden="false" customHeight="false" outlineLevel="0" collapsed="false">
      <c r="A53" s="1" t="s">
        <v>107</v>
      </c>
    </row>
    <row r="54" customFormat="false" ht="15" hidden="false" customHeight="false" outlineLevel="0" collapsed="false">
      <c r="A54" s="3" t="s">
        <v>13</v>
      </c>
      <c r="B54" s="3" t="s">
        <v>14</v>
      </c>
      <c r="C54" s="3" t="s">
        <v>93</v>
      </c>
      <c r="D54" s="3" t="s">
        <v>94</v>
      </c>
      <c r="E54" s="3" t="s">
        <v>95</v>
      </c>
      <c r="F54" s="3" t="s">
        <v>96</v>
      </c>
      <c r="G54" s="3" t="s">
        <v>97</v>
      </c>
      <c r="H54" s="3" t="s">
        <v>98</v>
      </c>
      <c r="I54" s="3" t="s">
        <v>99</v>
      </c>
      <c r="J54" s="3"/>
      <c r="K54" s="3" t="s">
        <v>100</v>
      </c>
      <c r="L54" s="3" t="s">
        <v>101</v>
      </c>
      <c r="M54" s="3" t="s">
        <v>102</v>
      </c>
      <c r="N54" s="3" t="s">
        <v>103</v>
      </c>
      <c r="O54" s="3" t="s">
        <v>104</v>
      </c>
      <c r="P54" s="3" t="s">
        <v>105</v>
      </c>
      <c r="Q54" s="3" t="s">
        <v>106</v>
      </c>
    </row>
    <row r="55" customFormat="false" ht="15" hidden="false" customHeight="false" outlineLevel="0" collapsed="false">
      <c r="A55" s="2" t="n">
        <v>1002301</v>
      </c>
      <c r="B55" s="2" t="s">
        <v>39</v>
      </c>
      <c r="C55" s="4" t="n">
        <f aca="false">SUMIFS(EPA_panel!K:K,EPA_panel!A:A,$A55,EPA_panel!D:D,2017)</f>
        <v>939888.424</v>
      </c>
      <c r="D55" s="4" t="n">
        <f aca="false">SUMIFS(EPA_panel!K:K,EPA_panel!A:A,$A55,EPA_panel!D:D,2018)</f>
        <v>1198859.96</v>
      </c>
      <c r="E55" s="4" t="n">
        <f aca="false">SUMIFS(EPA_panel!K:K,EPA_panel!A:A,$A55,EPA_panel!D:D,2019)</f>
        <v>1986056.164</v>
      </c>
      <c r="F55" s="4" t="n">
        <f aca="false">SUMIFS(EPA_panel!K:K,EPA_panel!A:A,$A55,EPA_panel!D:D,2020)</f>
        <v>1584057.144</v>
      </c>
      <c r="G55" s="4" t="n">
        <f aca="false">SUMIFS(EPA_panel!K:K,EPA_panel!A:A,$A55,EPA_panel!D:D,2021)</f>
        <v>1843039.11</v>
      </c>
      <c r="H55" s="4" t="n">
        <f aca="false">SUMIFS(EPA_panel!K:K,EPA_panel!A:A,$A55,EPA_panel!D:D,2022)</f>
        <v>1325064.748</v>
      </c>
      <c r="I55" s="4" t="n">
        <f aca="false">SUMIFS(EPA_panel!K:K,EPA_panel!A:A,$A55,EPA_panel!D:D,2023)</f>
        <v>1719495.164</v>
      </c>
      <c r="K55" s="5" t="n">
        <f aca="false">IF($C55=0,"",C55/$C55)</f>
        <v>1</v>
      </c>
      <c r="L55" s="5" t="n">
        <f aca="false">IF($C55=0,"",D55/$C55)</f>
        <v>1.27553433938239</v>
      </c>
      <c r="M55" s="5" t="n">
        <f aca="false">IF($C55=0,"",E55/$C55)</f>
        <v>2.11307652407048</v>
      </c>
      <c r="N55" s="5" t="n">
        <f aca="false">IF($C55=0,"",F55/$C55)</f>
        <v>1.68536722397168</v>
      </c>
      <c r="O55" s="5" t="n">
        <f aca="false">IF($C55=0,"",G55/$C55)</f>
        <v>1.96091266041596</v>
      </c>
      <c r="P55" s="5" t="n">
        <f aca="false">IF($C55=0,"",H55/$C55)</f>
        <v>1.40981069046553</v>
      </c>
      <c r="Q55" s="5" t="n">
        <f aca="false">IF($C55=0,"",I55/$C55)</f>
        <v>1.82946732834748</v>
      </c>
    </row>
    <row r="56" customFormat="false" ht="15" hidden="false" customHeight="false" outlineLevel="0" collapsed="false">
      <c r="A56" s="2" t="n">
        <v>1006005</v>
      </c>
      <c r="B56" s="2" t="s">
        <v>71</v>
      </c>
      <c r="C56" s="4" t="n">
        <f aca="false">SUMIFS(EPA_panel!K:K,EPA_panel!A:A,$A56,EPA_panel!D:D,2017)</f>
        <v>441316.246</v>
      </c>
      <c r="D56" s="4" t="n">
        <f aca="false">SUMIFS(EPA_panel!K:K,EPA_panel!A:A,$A56,EPA_panel!D:D,2018)</f>
        <v>540685.24</v>
      </c>
      <c r="E56" s="4" t="n">
        <f aca="false">SUMIFS(EPA_panel!K:K,EPA_panel!A:A,$A56,EPA_panel!D:D,2019)</f>
        <v>571600.654</v>
      </c>
      <c r="F56" s="4" t="n">
        <f aca="false">SUMIFS(EPA_panel!K:K,EPA_panel!A:A,$A56,EPA_panel!D:D,2020)</f>
        <v>388867.65</v>
      </c>
      <c r="G56" s="4" t="n">
        <f aca="false">SUMIFS(EPA_panel!K:K,EPA_panel!A:A,$A56,EPA_panel!D:D,2021)</f>
        <v>539902.394</v>
      </c>
      <c r="H56" s="4" t="n">
        <f aca="false">SUMIFS(EPA_panel!K:K,EPA_panel!A:A,$A56,EPA_panel!D:D,2022)</f>
        <v>615639.392</v>
      </c>
      <c r="I56" s="4" t="n">
        <f aca="false">SUMIFS(EPA_panel!K:K,EPA_panel!A:A,$A56,EPA_panel!D:D,2023)</f>
        <v>590875.592</v>
      </c>
      <c r="K56" s="5" t="n">
        <f aca="false">IF($C56=0,"",C56/$C56)</f>
        <v>1</v>
      </c>
      <c r="L56" s="5" t="n">
        <f aca="false">IF($C56=0,"",D56/$C56)</f>
        <v>1.22516504864858</v>
      </c>
      <c r="M56" s="5" t="n">
        <f aca="false">IF($C56=0,"",E56/$C56)</f>
        <v>1.29521779263934</v>
      </c>
      <c r="N56" s="5" t="n">
        <f aca="false">IF($C56=0,"",F56/$C56)</f>
        <v>0.881154168976594</v>
      </c>
      <c r="O56" s="5" t="n">
        <f aca="false">IF($C56=0,"",G56/$C56)</f>
        <v>1.22339115972631</v>
      </c>
      <c r="P56" s="5" t="n">
        <f aca="false">IF($C56=0,"",H56/$C56)</f>
        <v>1.39500731636333</v>
      </c>
      <c r="Q56" s="5" t="n">
        <f aca="false">IF($C56=0,"",I56/$C56)</f>
        <v>1.33889381448242</v>
      </c>
    </row>
    <row r="57" customFormat="false" ht="15" hidden="false" customHeight="false" outlineLevel="0" collapsed="false">
      <c r="A57" s="2" t="n">
        <v>1002170</v>
      </c>
      <c r="B57" s="2" t="s">
        <v>31</v>
      </c>
      <c r="C57" s="4" t="n">
        <f aca="false">SUMIFS(EPA_panel!K:K,EPA_panel!A:A,$A57,EPA_panel!D:D,2017)</f>
        <v>723555.622</v>
      </c>
      <c r="D57" s="4" t="n">
        <f aca="false">SUMIFS(EPA_panel!K:K,EPA_panel!A:A,$A57,EPA_panel!D:D,2018)</f>
        <v>712477.472</v>
      </c>
      <c r="E57" s="4" t="n">
        <f aca="false">SUMIFS(EPA_panel!K:K,EPA_panel!A:A,$A57,EPA_panel!D:D,2019)</f>
        <v>607045.668</v>
      </c>
      <c r="F57" s="4" t="n">
        <f aca="false">SUMIFS(EPA_panel!K:K,EPA_panel!A:A,$A57,EPA_panel!D:D,2020)</f>
        <v>237848.402</v>
      </c>
      <c r="G57" s="4" t="n">
        <f aca="false">SUMIFS(EPA_panel!K:K,EPA_panel!A:A,$A57,EPA_panel!D:D,2021)</f>
        <v>250823.62</v>
      </c>
      <c r="H57" s="4" t="n">
        <f aca="false">SUMIFS(EPA_panel!K:K,EPA_panel!A:A,$A57,EPA_panel!D:D,2022)</f>
        <v>304873.072</v>
      </c>
      <c r="I57" s="4" t="n">
        <f aca="false">SUMIFS(EPA_panel!K:K,EPA_panel!A:A,$A57,EPA_panel!D:D,2023)</f>
        <v>239518.394</v>
      </c>
      <c r="K57" s="5" t="n">
        <f aca="false">IF($C57=0,"",C57/$C57)</f>
        <v>1</v>
      </c>
      <c r="L57" s="5" t="n">
        <f aca="false">IF($C57=0,"",D57/$C57)</f>
        <v>0.984689290410904</v>
      </c>
      <c r="M57" s="5" t="n">
        <f aca="false">IF($C57=0,"",E57/$C57)</f>
        <v>0.838975815462602</v>
      </c>
      <c r="N57" s="5" t="n">
        <f aca="false">IF($C57=0,"",F57/$C57)</f>
        <v>0.328721655624148</v>
      </c>
      <c r="O57" s="5" t="n">
        <f aca="false">IF($C57=0,"",G57/$C57)</f>
        <v>0.346654234137096</v>
      </c>
      <c r="P57" s="5" t="n">
        <f aca="false">IF($C57=0,"",H57/$C57)</f>
        <v>0.421354022731925</v>
      </c>
      <c r="Q57" s="5" t="n">
        <f aca="false">IF($C57=0,"",I57/$C57)</f>
        <v>0.331029691038735</v>
      </c>
    </row>
    <row r="58" customFormat="false" ht="15" hidden="false" customHeight="false" outlineLevel="0" collapsed="false">
      <c r="A58" s="2" t="n">
        <v>1002407</v>
      </c>
      <c r="B58" s="2" t="s">
        <v>43</v>
      </c>
      <c r="C58" s="4" t="n">
        <f aca="false">SUMIFS(EPA_panel!K:K,EPA_panel!A:A,$A58,EPA_panel!D:D,2017)</f>
        <v>342.104</v>
      </c>
      <c r="D58" s="4" t="n">
        <f aca="false">SUMIFS(EPA_panel!K:K,EPA_panel!A:A,$A58,EPA_panel!D:D,2018)</f>
        <v>383.824</v>
      </c>
      <c r="E58" s="4" t="n">
        <f aca="false">SUMIFS(EPA_panel!K:K,EPA_panel!A:A,$A58,EPA_panel!D:D,2019)</f>
        <v>362.07</v>
      </c>
      <c r="F58" s="4" t="n">
        <f aca="false">SUMIFS(EPA_panel!K:K,EPA_panel!A:A,$A58,EPA_panel!D:D,2020)</f>
        <v>257.174</v>
      </c>
      <c r="G58" s="4" t="n">
        <f aca="false">SUMIFS(EPA_panel!K:K,EPA_panel!A:A,$A58,EPA_panel!D:D,2021)</f>
        <v>192.806</v>
      </c>
      <c r="H58" s="4" t="n">
        <f aca="false">SUMIFS(EPA_panel!K:K,EPA_panel!A:A,$A58,EPA_panel!D:D,2022)</f>
        <v>444.02</v>
      </c>
      <c r="I58" s="4" t="n">
        <f aca="false">SUMIFS(EPA_panel!K:K,EPA_panel!A:A,$A58,EPA_panel!D:D,2023)</f>
        <v>143.934</v>
      </c>
      <c r="K58" s="5" t="n">
        <f aca="false">IF($C58=0,"",C58/$C58)</f>
        <v>1</v>
      </c>
      <c r="L58" s="5" t="n">
        <f aca="false">IF($C58=0,"",D58/$C58)</f>
        <v>1.1219512195122</v>
      </c>
      <c r="M58" s="5" t="n">
        <f aca="false">IF($C58=0,"",E58/$C58)</f>
        <v>1.05836236933798</v>
      </c>
      <c r="N58" s="5" t="n">
        <f aca="false">IF($C58=0,"",F58/$C58)</f>
        <v>0.751742160278746</v>
      </c>
      <c r="O58" s="5" t="n">
        <f aca="false">IF($C58=0,"",G58/$C58)</f>
        <v>0.563588850174216</v>
      </c>
      <c r="P58" s="5" t="n">
        <f aca="false">IF($C58=0,"",H58/$C58)</f>
        <v>1.29790940766551</v>
      </c>
      <c r="Q58" s="5" t="n">
        <f aca="false">IF($C58=0,"",I58/$C58)</f>
        <v>0.420731707317073</v>
      </c>
    </row>
    <row r="59" customFormat="false" ht="15" hidden="false" customHeight="false" outlineLevel="0" collapsed="false">
      <c r="A59" s="2" t="n">
        <v>1002275</v>
      </c>
      <c r="B59" s="2" t="s">
        <v>37</v>
      </c>
      <c r="C59" s="4" t="n">
        <f aca="false">SUMIFS(EPA_panel!K:K,EPA_panel!A:A,$A59,EPA_panel!D:D,2017)</f>
        <v>1675681.118</v>
      </c>
      <c r="D59" s="4" t="n">
        <f aca="false">SUMIFS(EPA_panel!K:K,EPA_panel!A:A,$A59,EPA_panel!D:D,2018)</f>
        <v>1644839.608</v>
      </c>
      <c r="E59" s="4" t="n">
        <f aca="false">SUMIFS(EPA_panel!K:K,EPA_panel!A:A,$A59,EPA_panel!D:D,2019)</f>
        <v>1488051.08</v>
      </c>
      <c r="F59" s="4" t="n">
        <f aca="false">SUMIFS(EPA_panel!K:K,EPA_panel!A:A,$A59,EPA_panel!D:D,2020)</f>
        <v>1501874.108</v>
      </c>
      <c r="G59" s="4" t="n">
        <f aca="false">SUMIFS(EPA_panel!K:K,EPA_panel!A:A,$A59,EPA_panel!D:D,2021)</f>
        <v>758902.594</v>
      </c>
      <c r="H59" s="4" t="n">
        <f aca="false">SUMIFS(EPA_panel!K:K,EPA_panel!A:A,$A59,EPA_panel!D:D,2022)</f>
        <v>1471289.474</v>
      </c>
      <c r="I59" s="4" t="n">
        <f aca="false">SUMIFS(EPA_panel!K:K,EPA_panel!A:A,$A59,EPA_panel!D:D,2023)</f>
        <v>1246994.41</v>
      </c>
      <c r="K59" s="5" t="n">
        <f aca="false">IF($C59=0,"",C59/$C59)</f>
        <v>1</v>
      </c>
      <c r="L59" s="5" t="n">
        <f aca="false">IF($C59=0,"",D59/$C59)</f>
        <v>0.981594642519568</v>
      </c>
      <c r="M59" s="5" t="n">
        <f aca="false">IF($C59=0,"",E59/$C59)</f>
        <v>0.888027599055395</v>
      </c>
      <c r="N59" s="5" t="n">
        <f aca="false">IF($C59=0,"",F59/$C59)</f>
        <v>0.896276798650422</v>
      </c>
      <c r="O59" s="5" t="n">
        <f aca="false">IF($C59=0,"",G59/$C59)</f>
        <v>0.452892012595919</v>
      </c>
      <c r="P59" s="5" t="n">
        <f aca="false">IF($C59=0,"",H59/$C59)</f>
        <v>0.87802473763985</v>
      </c>
      <c r="Q59" s="5" t="n">
        <f aca="false">IF($C59=0,"",I59/$C59)</f>
        <v>0.744171666437552</v>
      </c>
    </row>
    <row r="60" customFormat="false" ht="15" hidden="false" customHeight="false" outlineLevel="0" collapsed="false">
      <c r="A60" s="2" t="n">
        <v>1004340</v>
      </c>
      <c r="B60" s="2" t="s">
        <v>60</v>
      </c>
      <c r="C60" s="4" t="n">
        <f aca="false">SUMIFS(EPA_panel!K:K,EPA_panel!A:A,$A60,EPA_panel!D:D,2017)</f>
        <v>574327.652</v>
      </c>
      <c r="D60" s="4" t="n">
        <f aca="false">SUMIFS(EPA_panel!K:K,EPA_panel!A:A,$A60,EPA_panel!D:D,2018)</f>
        <v>408540.418</v>
      </c>
      <c r="E60" s="4" t="n">
        <f aca="false">SUMIFS(EPA_panel!K:K,EPA_panel!A:A,$A60,EPA_panel!D:D,2019)</f>
        <v>292059.668</v>
      </c>
      <c r="F60" s="4" t="n">
        <f aca="false">SUMIFS(EPA_panel!K:K,EPA_panel!A:A,$A60,EPA_panel!D:D,2020)</f>
        <v>395470.734</v>
      </c>
      <c r="G60" s="4" t="n">
        <f aca="false">SUMIFS(EPA_panel!K:K,EPA_panel!A:A,$A60,EPA_panel!D:D,2021)</f>
        <v>448388.382</v>
      </c>
      <c r="H60" s="4" t="n">
        <f aca="false">SUMIFS(EPA_panel!K:K,EPA_panel!A:A,$A60,EPA_panel!D:D,2022)</f>
        <v>12488.584</v>
      </c>
      <c r="I60" s="4" t="n">
        <f aca="false">SUMIFS(EPA_panel!K:K,EPA_panel!A:A,$A60,EPA_panel!D:D,2023)</f>
        <v>58255.424</v>
      </c>
      <c r="K60" s="5" t="n">
        <f aca="false">IF($C60=0,"",C60/$C60)</f>
        <v>1</v>
      </c>
      <c r="L60" s="5" t="n">
        <f aca="false">IF($C60=0,"",D60/$C60)</f>
        <v>0.71133684157001</v>
      </c>
      <c r="M60" s="5" t="n">
        <f aca="false">IF($C60=0,"",E60/$C60)</f>
        <v>0.508524475502705</v>
      </c>
      <c r="N60" s="5" t="n">
        <f aca="false">IF($C60=0,"",F60/$C60)</f>
        <v>0.688580347163922</v>
      </c>
      <c r="O60" s="5" t="n">
        <f aca="false">IF($C60=0,"",G60/$C60)</f>
        <v>0.780718776883827</v>
      </c>
      <c r="P60" s="5" t="n">
        <f aca="false">IF($C60=0,"",H60/$C60)</f>
        <v>0.0217447026214228</v>
      </c>
      <c r="Q60" s="5" t="n">
        <f aca="false">IF($C60=0,"",I60/$C60)</f>
        <v>0.101432385846538</v>
      </c>
    </row>
    <row r="61" customFormat="false" ht="15" hidden="false" customHeight="false" outlineLevel="0" collapsed="false">
      <c r="A61" s="2" t="n">
        <v>1012918</v>
      </c>
      <c r="B61" s="2" t="s">
        <v>83</v>
      </c>
      <c r="C61" s="4" t="n">
        <f aca="false">SUMIFS(EPA_panel!K:K,EPA_panel!A:A,$A61,EPA_panel!D:D,2017)</f>
        <v>217.838</v>
      </c>
      <c r="D61" s="4" t="n">
        <f aca="false">SUMIFS(EPA_panel!K:K,EPA_panel!A:A,$A61,EPA_panel!D:D,2018)</f>
        <v>592.126</v>
      </c>
      <c r="E61" s="4" t="n">
        <f aca="false">SUMIFS(EPA_panel!K:K,EPA_panel!A:A,$A61,EPA_panel!D:D,2019)</f>
        <v>568.286</v>
      </c>
      <c r="F61" s="4" t="n">
        <f aca="false">SUMIFS(EPA_panel!K:K,EPA_panel!A:A,$A61,EPA_panel!D:D,2020)</f>
        <v>597.192</v>
      </c>
      <c r="G61" s="4" t="n">
        <f aca="false">SUMIFS(EPA_panel!K:K,EPA_panel!A:A,$A61,EPA_panel!D:D,2021)</f>
        <v>456.536</v>
      </c>
      <c r="H61" s="4" t="n">
        <f aca="false">SUMIFS(EPA_panel!K:K,EPA_panel!A:A,$A61,EPA_panel!D:D,2022)</f>
        <v>545.042</v>
      </c>
      <c r="I61" s="4" t="n">
        <f aca="false">SUMIFS(EPA_panel!K:K,EPA_panel!A:A,$A61,EPA_panel!D:D,2023)</f>
        <v>364.752</v>
      </c>
      <c r="K61" s="5" t="n">
        <f aca="false">IF($C61=0,"",C61/$C61)</f>
        <v>1</v>
      </c>
      <c r="L61" s="5" t="n">
        <f aca="false">IF($C61=0,"",D61/$C61)</f>
        <v>2.71819425444596</v>
      </c>
      <c r="M61" s="5" t="n">
        <f aca="false">IF($C61=0,"",E61/$C61)</f>
        <v>2.60875512995896</v>
      </c>
      <c r="N61" s="5" t="n">
        <f aca="false">IF($C61=0,"",F61/$C61)</f>
        <v>2.74145006839945</v>
      </c>
      <c r="O61" s="5" t="n">
        <f aca="false">IF($C61=0,"",G61/$C61)</f>
        <v>2.09575923392613</v>
      </c>
      <c r="P61" s="5" t="n">
        <f aca="false">IF($C61=0,"",H61/$C61)</f>
        <v>2.50205198358413</v>
      </c>
      <c r="Q61" s="5" t="n">
        <f aca="false">IF($C61=0,"",I61/$C61)</f>
        <v>1.67441860465116</v>
      </c>
    </row>
    <row r="62" customFormat="false" ht="15" hidden="false" customHeight="false" outlineLevel="0" collapsed="false">
      <c r="A62" s="2" t="n">
        <v>1002229</v>
      </c>
      <c r="B62" s="2" t="s">
        <v>35</v>
      </c>
      <c r="C62" s="4" t="n">
        <f aca="false">SUMIFS(EPA_panel!K:K,EPA_panel!A:A,$A62,EPA_panel!D:D,2017)</f>
        <v>254665.734</v>
      </c>
      <c r="D62" s="4" t="n">
        <f aca="false">SUMIFS(EPA_panel!K:K,EPA_panel!A:A,$A62,EPA_panel!D:D,2018)</f>
        <v>287273.49</v>
      </c>
      <c r="E62" s="4" t="n">
        <f aca="false">SUMIFS(EPA_panel!K:K,EPA_panel!A:A,$A62,EPA_panel!D:D,2019)</f>
        <v>165422.482</v>
      </c>
      <c r="F62" s="4" t="n">
        <f aca="false">SUMIFS(EPA_panel!K:K,EPA_panel!A:A,$A62,EPA_panel!D:D,2020)</f>
        <v>246344.382</v>
      </c>
      <c r="G62" s="4" t="n">
        <f aca="false">SUMIFS(EPA_panel!K:K,EPA_panel!A:A,$A62,EPA_panel!D:D,2021)</f>
        <v>346486.388</v>
      </c>
      <c r="H62" s="4" t="n">
        <f aca="false">SUMIFS(EPA_panel!K:K,EPA_panel!A:A,$A62,EPA_panel!D:D,2022)</f>
        <v>153932.496</v>
      </c>
      <c r="I62" s="4" t="n">
        <f aca="false">SUMIFS(EPA_panel!K:K,EPA_panel!A:A,$A62,EPA_panel!D:D,2023)</f>
        <v>149.298</v>
      </c>
      <c r="K62" s="5" t="n">
        <f aca="false">IF($C62=0,"",C62/$C62)</f>
        <v>1</v>
      </c>
      <c r="L62" s="5" t="n">
        <f aca="false">IF($C62=0,"",D62/$C62)</f>
        <v>1.12804139562804</v>
      </c>
      <c r="M62" s="5" t="n">
        <f aca="false">IF($C62=0,"",E62/$C62)</f>
        <v>0.649567098807255</v>
      </c>
      <c r="N62" s="5" t="n">
        <f aca="false">IF($C62=0,"",F62/$C62)</f>
        <v>0.967324414363497</v>
      </c>
      <c r="O62" s="5" t="n">
        <f aca="false">IF($C62=0,"",G62/$C62)</f>
        <v>1.36055362673959</v>
      </c>
      <c r="P62" s="5" t="n">
        <f aca="false">IF($C62=0,"",H62/$C62)</f>
        <v>0.604449187498464</v>
      </c>
      <c r="Q62" s="5" t="n">
        <f aca="false">IF($C62=0,"",I62/$C62)</f>
        <v>0.00058625083812807</v>
      </c>
    </row>
    <row r="63" customFormat="false" ht="15" hidden="false" customHeight="false" outlineLevel="0" collapsed="false">
      <c r="A63" s="2" t="n">
        <v>1004183</v>
      </c>
      <c r="B63" s="2" t="s">
        <v>58</v>
      </c>
      <c r="C63" s="4" t="n">
        <f aca="false">SUMIFS(EPA_panel!K:K,EPA_panel!A:A,$A63,EPA_panel!D:D,2017)</f>
        <v>1359292.134</v>
      </c>
      <c r="D63" s="4" t="n">
        <f aca="false">SUMIFS(EPA_panel!K:K,EPA_panel!A:A,$A63,EPA_panel!D:D,2018)</f>
        <v>1014524.61</v>
      </c>
      <c r="E63" s="4" t="n">
        <f aca="false">SUMIFS(EPA_panel!K:K,EPA_panel!A:A,$A63,EPA_panel!D:D,2019)</f>
        <v>1311544.19</v>
      </c>
      <c r="F63" s="4" t="n">
        <f aca="false">SUMIFS(EPA_panel!K:K,EPA_panel!A:A,$A63,EPA_panel!D:D,2020)</f>
        <v>1259097.68</v>
      </c>
      <c r="G63" s="4" t="n">
        <f aca="false">SUMIFS(EPA_panel!K:K,EPA_panel!A:A,$A63,EPA_panel!D:D,2021)</f>
        <v>977929.316</v>
      </c>
      <c r="H63" s="4" t="n">
        <f aca="false">SUMIFS(EPA_panel!K:K,EPA_panel!A:A,$A63,EPA_panel!D:D,2022)</f>
        <v>1323431.112</v>
      </c>
      <c r="I63" s="4" t="n">
        <f aca="false">SUMIFS(EPA_panel!K:K,EPA_panel!A:A,$A63,EPA_panel!D:D,2023)</f>
        <v>1298069.822</v>
      </c>
      <c r="K63" s="5" t="n">
        <f aca="false">IF($C63=0,"",C63/$C63)</f>
        <v>1</v>
      </c>
      <c r="L63" s="5" t="n">
        <f aca="false">IF($C63=0,"",D63/$C63)</f>
        <v>0.746362451914255</v>
      </c>
      <c r="M63" s="5" t="n">
        <f aca="false">IF($C63=0,"",E63/$C63)</f>
        <v>0.964872934371001</v>
      </c>
      <c r="N63" s="5" t="n">
        <f aca="false">IF($C63=0,"",F63/$C63)</f>
        <v>0.926289241662013</v>
      </c>
      <c r="O63" s="5" t="n">
        <f aca="false">IF($C63=0,"",G63/$C63)</f>
        <v>0.719440134713529</v>
      </c>
      <c r="P63" s="5" t="n">
        <f aca="false">IF($C63=0,"",H63/$C63)</f>
        <v>0.973617869843422</v>
      </c>
      <c r="Q63" s="5" t="n">
        <f aca="false">IF($C63=0,"",I63/$C63)</f>
        <v>0.954960151340065</v>
      </c>
    </row>
    <row r="64" customFormat="false" ht="15" hidden="false" customHeight="false" outlineLevel="0" collapsed="false">
      <c r="A64" s="2" t="n">
        <v>1003993</v>
      </c>
      <c r="B64" s="2" t="s">
        <v>56</v>
      </c>
      <c r="C64" s="4" t="n">
        <f aca="false">SUMIFS(EPA_panel!K:K,EPA_panel!A:A,$A64,EPA_panel!D:D,2017)</f>
        <v>263983.896</v>
      </c>
      <c r="D64" s="4" t="n">
        <f aca="false">SUMIFS(EPA_panel!K:K,EPA_panel!A:A,$A64,EPA_panel!D:D,2018)</f>
        <v>297234.14</v>
      </c>
      <c r="E64" s="4" t="n">
        <f aca="false">SUMIFS(EPA_panel!K:K,EPA_panel!A:A,$A64,EPA_panel!D:D,2019)</f>
        <v>57415.66</v>
      </c>
      <c r="F64" s="4" t="n">
        <f aca="false">SUMIFS(EPA_panel!K:K,EPA_panel!A:A,$A64,EPA_panel!D:D,2020)</f>
        <v>44230.65</v>
      </c>
      <c r="G64" s="4" t="n">
        <f aca="false">SUMIFS(EPA_panel!K:K,EPA_panel!A:A,$A64,EPA_panel!D:D,2021)</f>
        <v>73012.682</v>
      </c>
      <c r="H64" s="4" t="n">
        <f aca="false">SUMIFS(EPA_panel!K:K,EPA_panel!A:A,$A64,EPA_panel!D:D,2022)</f>
        <v>102106.422</v>
      </c>
      <c r="I64" s="4" t="n">
        <f aca="false">SUMIFS(EPA_panel!K:K,EPA_panel!A:A,$A64,EPA_panel!D:D,2023)</f>
        <v>93253.14</v>
      </c>
      <c r="K64" s="5" t="n">
        <f aca="false">IF($C64=0,"",C64/$C64)</f>
        <v>1</v>
      </c>
      <c r="L64" s="5" t="n">
        <f aca="false">IF($C64=0,"",D64/$C64)</f>
        <v>1.12595557722961</v>
      </c>
      <c r="M64" s="5" t="n">
        <f aca="false">IF($C64=0,"",E64/$C64)</f>
        <v>0.217496827912563</v>
      </c>
      <c r="N64" s="5" t="n">
        <f aca="false">IF($C64=0,"",F64/$C64)</f>
        <v>0.167550561493342</v>
      </c>
      <c r="O64" s="5" t="n">
        <f aca="false">IF($C64=0,"",G64/$C64)</f>
        <v>0.276580060777647</v>
      </c>
      <c r="P64" s="5" t="n">
        <f aca="false">IF($C64=0,"",H64/$C64)</f>
        <v>0.386790344210997</v>
      </c>
      <c r="Q64" s="5" t="n">
        <f aca="false">IF($C64=0,"",I64/$C64)</f>
        <v>0.353253139350591</v>
      </c>
    </row>
    <row r="65" customFormat="false" ht="15" hidden="false" customHeight="false" outlineLevel="0" collapsed="false">
      <c r="A65" s="2" t="n">
        <v>1003489</v>
      </c>
      <c r="B65" s="2" t="s">
        <v>54</v>
      </c>
      <c r="C65" s="4" t="n">
        <f aca="false">SUMIFS(EPA_panel!K:K,EPA_panel!A:A,$A65,EPA_panel!D:D,2017)</f>
        <v>290873.926</v>
      </c>
      <c r="D65" s="4" t="n">
        <f aca="false">SUMIFS(EPA_panel!K:K,EPA_panel!A:A,$A65,EPA_panel!D:D,2018)</f>
        <v>323141.366</v>
      </c>
      <c r="E65" s="4" t="n">
        <f aca="false">SUMIFS(EPA_panel!K:K,EPA_panel!A:A,$A65,EPA_panel!D:D,2019)</f>
        <v>373707.496</v>
      </c>
      <c r="F65" s="4" t="n">
        <f aca="false">SUMIFS(EPA_panel!K:K,EPA_panel!A:A,$A65,EPA_panel!D:D,2020)</f>
        <v>459574.408</v>
      </c>
      <c r="G65" s="4" t="n">
        <f aca="false">SUMIFS(EPA_panel!K:K,EPA_panel!A:A,$A65,EPA_panel!D:D,2021)</f>
        <v>460061.638</v>
      </c>
      <c r="H65" s="4" t="n">
        <f aca="false">SUMIFS(EPA_panel!K:K,EPA_panel!A:A,$A65,EPA_panel!D:D,2022)</f>
        <v>430255.678</v>
      </c>
      <c r="I65" s="4" t="n">
        <f aca="false">SUMIFS(EPA_panel!K:K,EPA_panel!A:A,$A65,EPA_panel!D:D,2023)</f>
        <v>787329.112</v>
      </c>
      <c r="K65" s="5" t="n">
        <f aca="false">IF($C65=0,"",C65/$C65)</f>
        <v>1</v>
      </c>
      <c r="L65" s="5" t="n">
        <f aca="false">IF($C65=0,"",D65/$C65)</f>
        <v>1.11093273447961</v>
      </c>
      <c r="M65" s="5" t="n">
        <f aca="false">IF($C65=0,"",E65/$C65)</f>
        <v>1.28477482027729</v>
      </c>
      <c r="N65" s="5" t="n">
        <f aca="false">IF($C65=0,"",F65/$C65)</f>
        <v>1.57997801425488</v>
      </c>
      <c r="O65" s="5" t="n">
        <f aca="false">IF($C65=0,"",G65/$C65)</f>
        <v>1.58165306985955</v>
      </c>
      <c r="P65" s="5" t="n">
        <f aca="false">IF($C65=0,"",H65/$C65)</f>
        <v>1.47918269580478</v>
      </c>
      <c r="Q65" s="5" t="n">
        <f aca="false">IF($C65=0,"",I65/$C65)</f>
        <v>2.7067710152886</v>
      </c>
    </row>
    <row r="66" customFormat="false" ht="15" hidden="false" customHeight="false" outlineLevel="0" collapsed="false">
      <c r="A66" s="2" t="n">
        <v>1005788</v>
      </c>
      <c r="B66" s="2" t="s">
        <v>67</v>
      </c>
      <c r="C66" s="4" t="n">
        <f aca="false">SUMIFS(EPA_panel!K:K,EPA_panel!A:A,$A66,EPA_panel!D:D,2017)</f>
        <v>341631.67</v>
      </c>
      <c r="D66" s="4" t="n">
        <f aca="false">SUMIFS(EPA_panel!K:K,EPA_panel!A:A,$A66,EPA_panel!D:D,2018)</f>
        <v>362236.284</v>
      </c>
      <c r="E66" s="4" t="n">
        <f aca="false">SUMIFS(EPA_panel!K:K,EPA_panel!A:A,$A66,EPA_panel!D:D,2019)</f>
        <v>240134.956</v>
      </c>
      <c r="F66" s="4" t="n">
        <f aca="false">SUMIFS(EPA_panel!K:K,EPA_panel!A:A,$A66,EPA_panel!D:D,2020)</f>
        <v>269419.118</v>
      </c>
      <c r="G66" s="4" t="n">
        <f aca="false">SUMIFS(EPA_panel!K:K,EPA_panel!A:A,$A66,EPA_panel!D:D,2021)</f>
        <v>354455.504</v>
      </c>
      <c r="H66" s="4" t="n">
        <f aca="false">SUMIFS(EPA_panel!K:K,EPA_panel!A:A,$A66,EPA_panel!D:D,2022)</f>
        <v>360961.142</v>
      </c>
      <c r="I66" s="4" t="n">
        <f aca="false">SUMIFS(EPA_panel!K:K,EPA_panel!A:A,$A66,EPA_panel!D:D,2023)</f>
        <v>328295.276</v>
      </c>
      <c r="K66" s="5" t="n">
        <f aca="false">IF($C66=0,"",C66/$C66)</f>
        <v>1</v>
      </c>
      <c r="L66" s="5" t="n">
        <f aca="false">IF($C66=0,"",D66/$C66)</f>
        <v>1.0603123650685</v>
      </c>
      <c r="M66" s="5" t="n">
        <f aca="false">IF($C66=0,"",E66/$C66)</f>
        <v>0.702906015709843</v>
      </c>
      <c r="N66" s="5" t="n">
        <f aca="false">IF($C66=0,"",F66/$C66)</f>
        <v>0.788624538234409</v>
      </c>
      <c r="O66" s="5" t="n">
        <f aca="false">IF($C66=0,"",G66/$C66)</f>
        <v>1.03753701757217</v>
      </c>
      <c r="P66" s="5" t="n">
        <f aca="false">IF($C66=0,"",H66/$C66)</f>
        <v>1.05657985982389</v>
      </c>
      <c r="Q66" s="5" t="n">
        <f aca="false">IF($C66=0,"",I66/$C66)</f>
        <v>0.960962653140442</v>
      </c>
    </row>
    <row r="67" customFormat="false" ht="15" hidden="false" customHeight="false" outlineLevel="0" collapsed="false">
      <c r="A67" s="2" t="n">
        <v>1007046</v>
      </c>
      <c r="B67" s="2" t="s">
        <v>75</v>
      </c>
      <c r="C67" s="4" t="n">
        <f aca="false">SUMIFS(EPA_panel!K:K,EPA_panel!A:A,$A67,EPA_panel!D:D,2017)</f>
        <v>263202.54</v>
      </c>
      <c r="D67" s="4" t="n">
        <f aca="false">SUMIFS(EPA_panel!K:K,EPA_panel!A:A,$A67,EPA_panel!D:D,2018)</f>
        <v>190805.228</v>
      </c>
      <c r="E67" s="4" t="n">
        <f aca="false">SUMIFS(EPA_panel!K:K,EPA_panel!A:A,$A67,EPA_panel!D:D,2019)</f>
        <v>211062.374</v>
      </c>
      <c r="F67" s="4" t="n">
        <f aca="false">SUMIFS(EPA_panel!K:K,EPA_panel!A:A,$A67,EPA_panel!D:D,2020)</f>
        <v>268638.656</v>
      </c>
      <c r="G67" s="4" t="n">
        <f aca="false">SUMIFS(EPA_panel!K:K,EPA_panel!A:A,$A67,EPA_panel!D:D,2021)</f>
        <v>271141.26</v>
      </c>
      <c r="H67" s="4" t="n">
        <f aca="false">SUMIFS(EPA_panel!K:K,EPA_panel!A:A,$A67,EPA_panel!D:D,2022)</f>
        <v>303563.958</v>
      </c>
      <c r="I67" s="4" t="n">
        <f aca="false">SUMIFS(EPA_panel!K:K,EPA_panel!A:A,$A67,EPA_panel!D:D,2023)</f>
        <v>268078.416</v>
      </c>
      <c r="K67" s="5" t="n">
        <f aca="false">IF($C67=0,"",C67/$C67)</f>
        <v>1</v>
      </c>
      <c r="L67" s="5" t="n">
        <f aca="false">IF($C67=0,"",D67/$C67)</f>
        <v>0.724936879408535</v>
      </c>
      <c r="M67" s="5" t="n">
        <f aca="false">IF($C67=0,"",E67/$C67)</f>
        <v>0.801900977095434</v>
      </c>
      <c r="N67" s="5" t="n">
        <f aca="false">IF($C67=0,"",F67/$C67)</f>
        <v>1.02065373685224</v>
      </c>
      <c r="O67" s="5" t="n">
        <f aca="false">IF($C67=0,"",G67/$C67)</f>
        <v>1.03016201895316</v>
      </c>
      <c r="P67" s="5" t="n">
        <f aca="false">IF($C67=0,"",H67/$C67)</f>
        <v>1.15334737271152</v>
      </c>
      <c r="Q67" s="5" t="n">
        <f aca="false">IF($C67=0,"",I67/$C67)</f>
        <v>1.01852518596515</v>
      </c>
    </row>
    <row r="68" customFormat="false" ht="15" hidden="false" customHeight="false" outlineLevel="0" collapsed="false">
      <c r="A68" s="2" t="n">
        <v>1005502</v>
      </c>
      <c r="B68" s="2" t="s">
        <v>62</v>
      </c>
      <c r="C68" s="4" t="n">
        <f aca="false">SUMIFS(EPA_panel!K:K,EPA_panel!A:A,$A68,EPA_panel!D:D,2017)</f>
        <v>40745.54</v>
      </c>
      <c r="D68" s="4" t="n">
        <f aca="false">SUMIFS(EPA_panel!K:K,EPA_panel!A:A,$A68,EPA_panel!D:D,2018)</f>
        <v>135292</v>
      </c>
      <c r="E68" s="4" t="n">
        <f aca="false">SUMIFS(EPA_panel!K:K,EPA_panel!A:A,$A68,EPA_panel!D:D,2019)</f>
        <v>81422.54</v>
      </c>
      <c r="F68" s="4" t="n">
        <f aca="false">SUMIFS(EPA_panel!K:K,EPA_panel!A:A,$A68,EPA_panel!D:D,2020)</f>
        <v>94275.28</v>
      </c>
      <c r="G68" s="4" t="n">
        <f aca="false">SUMIFS(EPA_panel!K:K,EPA_panel!A:A,$A68,EPA_panel!D:D,2021)</f>
        <v>46121.46</v>
      </c>
      <c r="H68" s="4" t="n">
        <f aca="false">SUMIFS(EPA_panel!K:K,EPA_panel!A:A,$A68,EPA_panel!D:D,2022)</f>
        <v>58840.1</v>
      </c>
      <c r="I68" s="4" t="n">
        <f aca="false">SUMIFS(EPA_panel!K:K,EPA_panel!A:A,$A68,EPA_panel!D:D,2023)</f>
        <v>69833.32</v>
      </c>
      <c r="K68" s="5" t="n">
        <f aca="false">IF($C68=0,"",C68/$C68)</f>
        <v>1</v>
      </c>
      <c r="L68" s="5" t="n">
        <f aca="false">IF($C68=0,"",D68/$C68)</f>
        <v>3.32041249177211</v>
      </c>
      <c r="M68" s="5" t="n">
        <f aca="false">IF($C68=0,"",E68/$C68)</f>
        <v>1.99831785270241</v>
      </c>
      <c r="N68" s="5" t="n">
        <f aca="false">IF($C68=0,"",F68/$C68)</f>
        <v>2.31375703942076</v>
      </c>
      <c r="O68" s="5" t="n">
        <f aca="false">IF($C68=0,"",G68/$C68)</f>
        <v>1.13193885760257</v>
      </c>
      <c r="P68" s="5" t="n">
        <f aca="false">IF($C68=0,"",H68/$C68)</f>
        <v>1.44408688656476</v>
      </c>
      <c r="Q68" s="5" t="n">
        <f aca="false">IF($C68=0,"",I68/$C68)</f>
        <v>1.713888685731</v>
      </c>
    </row>
    <row r="69" customFormat="false" ht="15" hidden="false" customHeight="false" outlineLevel="0" collapsed="false">
      <c r="A69" s="2" t="n">
        <v>1006575</v>
      </c>
      <c r="B69" s="2" t="s">
        <v>73</v>
      </c>
      <c r="C69" s="4" t="n">
        <f aca="false">SUMIFS(EPA_panel!K:K,EPA_panel!A:A,$A69,EPA_panel!D:D,2017)</f>
        <v>67.944</v>
      </c>
      <c r="D69" s="4" t="n">
        <f aca="false">SUMIFS(EPA_panel!K:K,EPA_panel!A:A,$A69,EPA_panel!D:D,2018)</f>
        <v>165.688</v>
      </c>
      <c r="E69" s="4" t="n">
        <f aca="false">SUMIFS(EPA_panel!K:K,EPA_panel!A:A,$A69,EPA_panel!D:D,2019)</f>
        <v>23.542</v>
      </c>
      <c r="F69" s="4" t="n">
        <f aca="false">SUMIFS(EPA_panel!K:K,EPA_panel!A:A,$A69,EPA_panel!D:D,2020)</f>
        <v>358.196</v>
      </c>
      <c r="G69" s="4" t="n">
        <f aca="false">SUMIFS(EPA_panel!K:K,EPA_panel!A:A,$A69,EPA_panel!D:D,2021)</f>
        <v>20424.92</v>
      </c>
      <c r="H69" s="4" t="n">
        <f aca="false">SUMIFS(EPA_panel!K:K,EPA_panel!A:A,$A69,EPA_panel!D:D,2022)</f>
        <v>15618.18</v>
      </c>
      <c r="I69" s="4" t="n">
        <f aca="false">SUMIFS(EPA_panel!K:K,EPA_panel!A:A,$A69,EPA_panel!D:D,2023)</f>
        <v>193050.36</v>
      </c>
      <c r="K69" s="5" t="n">
        <f aca="false">IF($C69=0,"",C69/$C69)</f>
        <v>1</v>
      </c>
      <c r="L69" s="5" t="n">
        <f aca="false">IF($C69=0,"",D69/$C69)</f>
        <v>2.43859649122807</v>
      </c>
      <c r="M69" s="5" t="n">
        <f aca="false">IF($C69=0,"",E69/$C69)</f>
        <v>0.346491228070175</v>
      </c>
      <c r="N69" s="5" t="n">
        <f aca="false">IF($C69=0,"",F69/$C69)</f>
        <v>5.2719298245614</v>
      </c>
      <c r="O69" s="5" t="n">
        <f aca="false">IF($C69=0,"",G69/$C69)</f>
        <v>300.614035087719</v>
      </c>
      <c r="P69" s="5" t="n">
        <f aca="false">IF($C69=0,"",H69/$C69)</f>
        <v>229.868421052632</v>
      </c>
      <c r="Q69" s="5" t="n">
        <f aca="false">IF($C69=0,"",I69/$C69)</f>
        <v>2841.31578947368</v>
      </c>
    </row>
    <row r="70" customFormat="false" ht="15" hidden="false" customHeight="false" outlineLevel="0" collapsed="false">
      <c r="A70" s="2" t="n">
        <v>1006037</v>
      </c>
      <c r="B70" s="2" t="s">
        <v>72</v>
      </c>
      <c r="C70" s="4" t="n">
        <f aca="false">SUMIFS(EPA_panel!K:K,EPA_panel!A:A,$A70,EPA_panel!D:D,2017)</f>
        <v>7577.246</v>
      </c>
      <c r="D70" s="4" t="n">
        <f aca="false">SUMIFS(EPA_panel!K:K,EPA_panel!A:A,$A70,EPA_panel!D:D,2018)</f>
        <v>3555.736</v>
      </c>
      <c r="E70" s="4" t="n">
        <f aca="false">SUMIFS(EPA_panel!K:K,EPA_panel!A:A,$A70,EPA_panel!D:D,2019)</f>
        <v>2800.604</v>
      </c>
      <c r="F70" s="4" t="n">
        <f aca="false">SUMIFS(EPA_panel!K:K,EPA_panel!A:A,$A70,EPA_panel!D:D,2020)</f>
        <v>7805.216</v>
      </c>
      <c r="G70" s="4" t="n">
        <f aca="false">SUMIFS(EPA_panel!K:K,EPA_panel!A:A,$A70,EPA_panel!D:D,2021)</f>
        <v>1817.8</v>
      </c>
      <c r="H70" s="4" t="n">
        <f aca="false">SUMIFS(EPA_panel!K:K,EPA_panel!A:A,$A70,EPA_panel!D:D,2022)</f>
        <v>115.922</v>
      </c>
      <c r="I70" s="4" t="n">
        <f aca="false">SUMIFS(EPA_panel!K:K,EPA_panel!A:A,$A70,EPA_panel!D:D,2023)</f>
        <v>5737.692</v>
      </c>
      <c r="K70" s="5" t="n">
        <f aca="false">IF($C70=0,"",C70/$C70)</f>
        <v>1</v>
      </c>
      <c r="L70" s="5" t="n">
        <f aca="false">IF($C70=0,"",D70/$C70)</f>
        <v>0.469264954575845</v>
      </c>
      <c r="M70" s="5" t="n">
        <f aca="false">IF($C70=0,"",E70/$C70)</f>
        <v>0.369607110551776</v>
      </c>
      <c r="N70" s="5" t="n">
        <f aca="false">IF($C70=0,"",F70/$C70)</f>
        <v>1.03008612891808</v>
      </c>
      <c r="O70" s="5" t="n">
        <f aca="false">IF($C70=0,"",G70/$C70)</f>
        <v>0.239902465882723</v>
      </c>
      <c r="P70" s="5" t="n">
        <f aca="false">IF($C70=0,"",H70/$C70)</f>
        <v>0.0152986982341605</v>
      </c>
      <c r="Q70" s="5" t="n">
        <f aca="false">IF($C70=0,"",I70/$C70)</f>
        <v>0.757226570181303</v>
      </c>
    </row>
    <row r="71" customFormat="false" ht="15" hidden="false" customHeight="false" outlineLevel="0" collapsed="false">
      <c r="A71" s="2" t="n">
        <v>1005867</v>
      </c>
      <c r="B71" s="2" t="s">
        <v>69</v>
      </c>
      <c r="C71" s="4" t="n">
        <f aca="false">SUMIFS(EPA_panel!K:K,EPA_panel!A:A,$A71,EPA_panel!D:D,2017)</f>
        <v>4605.888</v>
      </c>
      <c r="D71" s="4" t="n">
        <f aca="false">SUMIFS(EPA_panel!K:K,EPA_panel!A:A,$A71,EPA_panel!D:D,2018)</f>
        <v>18616.06</v>
      </c>
      <c r="E71" s="4" t="n">
        <f aca="false">SUMIFS(EPA_panel!K:K,EPA_panel!A:A,$A71,EPA_panel!D:D,2019)</f>
        <v>24757.84</v>
      </c>
      <c r="F71" s="4" t="n">
        <f aca="false">SUMIFS(EPA_panel!K:K,EPA_panel!A:A,$A71,EPA_panel!D:D,2020)</f>
        <v>60038.06</v>
      </c>
      <c r="G71" s="4" t="n">
        <f aca="false">SUMIFS(EPA_panel!K:K,EPA_panel!A:A,$A71,EPA_panel!D:D,2021)</f>
        <v>21903</v>
      </c>
      <c r="H71" s="4" t="n">
        <f aca="false">SUMIFS(EPA_panel!K:K,EPA_panel!A:A,$A71,EPA_panel!D:D,2022)</f>
        <v>56608.08</v>
      </c>
      <c r="I71" s="4" t="n">
        <f aca="false">SUMIFS(EPA_panel!K:K,EPA_panel!A:A,$A71,EPA_panel!D:D,2023)</f>
        <v>78835.9</v>
      </c>
      <c r="K71" s="5" t="n">
        <f aca="false">IF($C71=0,"",C71/$C71)</f>
        <v>1</v>
      </c>
      <c r="L71" s="5" t="n">
        <f aca="false">IF($C71=0,"",D71/$C71)</f>
        <v>4.04179606625259</v>
      </c>
      <c r="M71" s="5" t="n">
        <f aca="false">IF($C71=0,"",E71/$C71)</f>
        <v>5.37525879917184</v>
      </c>
      <c r="N71" s="5" t="n">
        <f aca="false">IF($C71=0,"",F71/$C71)</f>
        <v>13.0350672877847</v>
      </c>
      <c r="O71" s="5" t="n">
        <f aca="false">IF($C71=0,"",G71/$C71)</f>
        <v>4.7554347826087</v>
      </c>
      <c r="P71" s="5" t="n">
        <f aca="false">IF($C71=0,"",H71/$C71)</f>
        <v>12.2903726708075</v>
      </c>
      <c r="Q71" s="5" t="n">
        <f aca="false">IF($C71=0,"",I71/$C71)</f>
        <v>17.1163302277433</v>
      </c>
    </row>
    <row r="72" customFormat="false" ht="15" hidden="false" customHeight="false" outlineLevel="0" collapsed="false">
      <c r="A72" s="2" t="n">
        <v>1007770</v>
      </c>
      <c r="B72" s="2" t="s">
        <v>76</v>
      </c>
      <c r="C72" s="4" t="n">
        <f aca="false">SUMIFS(EPA_panel!K:K,EPA_panel!A:A,$A72,EPA_panel!D:D,2017)</f>
        <v>162110.808</v>
      </c>
      <c r="D72" s="4" t="n">
        <f aca="false">SUMIFS(EPA_panel!K:K,EPA_panel!A:A,$A72,EPA_panel!D:D,2018)</f>
        <v>87934.734</v>
      </c>
      <c r="E72" s="4" t="n">
        <f aca="false">SUMIFS(EPA_panel!K:K,EPA_panel!A:A,$A72,EPA_panel!D:D,2019)</f>
        <v>101805.442</v>
      </c>
      <c r="F72" s="4" t="n">
        <f aca="false">SUMIFS(EPA_panel!K:K,EPA_panel!A:A,$A72,EPA_panel!D:D,2020)</f>
        <v>131735.072</v>
      </c>
      <c r="G72" s="4" t="n">
        <f aca="false">SUMIFS(EPA_panel!K:K,EPA_panel!A:A,$A72,EPA_panel!D:D,2021)</f>
        <v>179517.286</v>
      </c>
      <c r="H72" s="4" t="n">
        <f aca="false">SUMIFS(EPA_panel!K:K,EPA_panel!A:A,$A72,EPA_panel!D:D,2022)</f>
        <v>185993.72</v>
      </c>
      <c r="I72" s="4" t="n">
        <f aca="false">SUMIFS(EPA_panel!K:K,EPA_panel!A:A,$A72,EPA_panel!D:D,2023)</f>
        <v>170094.526</v>
      </c>
      <c r="K72" s="5" t="n">
        <f aca="false">IF($C72=0,"",C72/$C72)</f>
        <v>1</v>
      </c>
      <c r="L72" s="5" t="n">
        <f aca="false">IF($C72=0,"",D72/$C72)</f>
        <v>0.542435973793925</v>
      </c>
      <c r="M72" s="5" t="n">
        <f aca="false">IF($C72=0,"",E72/$C72)</f>
        <v>0.62799910293458</v>
      </c>
      <c r="N72" s="5" t="n">
        <f aca="false">IF($C72=0,"",F72/$C72)</f>
        <v>0.812623622232516</v>
      </c>
      <c r="O72" s="5" t="n">
        <f aca="false">IF($C72=0,"",G72/$C72)</f>
        <v>1.10737395127905</v>
      </c>
      <c r="P72" s="5" t="n">
        <f aca="false">IF($C72=0,"",H72/$C72)</f>
        <v>1.14732461268098</v>
      </c>
      <c r="Q72" s="5" t="n">
        <f aca="false">IF($C72=0,"",I72/$C72)</f>
        <v>1.04924852388621</v>
      </c>
    </row>
    <row r="73" customFormat="false" ht="15" hidden="false" customHeight="false" outlineLevel="0" collapsed="false">
      <c r="A73" s="2" t="n">
        <v>1005924</v>
      </c>
      <c r="B73" s="2" t="s">
        <v>70</v>
      </c>
      <c r="C73" s="4" t="n">
        <f aca="false">SUMIFS(EPA_panel!K:K,EPA_panel!A:A,$A73,EPA_panel!D:D,2017)</f>
        <v>78469.658</v>
      </c>
      <c r="D73" s="4" t="n">
        <f aca="false">SUMIFS(EPA_panel!K:K,EPA_panel!A:A,$A73,EPA_panel!D:D,2018)</f>
        <v>22183.716</v>
      </c>
      <c r="E73" s="4" t="n">
        <f aca="false">SUMIFS(EPA_panel!K:K,EPA_panel!A:A,$A73,EPA_panel!D:D,2019)</f>
        <v>54149.878</v>
      </c>
      <c r="F73" s="4" t="n">
        <f aca="false">SUMIFS(EPA_panel!K:K,EPA_panel!A:A,$A73,EPA_panel!D:D,2020)</f>
        <v>51878.224</v>
      </c>
      <c r="G73" s="4" t="n">
        <f aca="false">SUMIFS(EPA_panel!K:K,EPA_panel!A:A,$A73,EPA_panel!D:D,2021)</f>
        <v>71157.93</v>
      </c>
      <c r="H73" s="4" t="n">
        <f aca="false">SUMIFS(EPA_panel!K:K,EPA_panel!A:A,$A73,EPA_panel!D:D,2022)</f>
        <v>127050.512</v>
      </c>
      <c r="I73" s="4" t="n">
        <f aca="false">SUMIFS(EPA_panel!K:K,EPA_panel!A:A,$A73,EPA_panel!D:D,2023)</f>
        <v>64984.562</v>
      </c>
      <c r="K73" s="5" t="n">
        <f aca="false">IF($C73=0,"",C73/$C73)</f>
        <v>1</v>
      </c>
      <c r="L73" s="5" t="n">
        <f aca="false">IF($C73=0,"",D73/$C73)</f>
        <v>0.282704379825384</v>
      </c>
      <c r="M73" s="5" t="n">
        <f aca="false">IF($C73=0,"",E73/$C73)</f>
        <v>0.69007409207773</v>
      </c>
      <c r="N73" s="5" t="n">
        <f aca="false">IF($C73=0,"",F73/$C73)</f>
        <v>0.661124634951257</v>
      </c>
      <c r="O73" s="5" t="n">
        <f aca="false">IF($C73=0,"",G73/$C73)</f>
        <v>0.906820952373719</v>
      </c>
      <c r="P73" s="5" t="n">
        <f aca="false">IF($C73=0,"",H73/$C73)</f>
        <v>1.61910367953942</v>
      </c>
      <c r="Q73" s="5" t="n">
        <f aca="false">IF($C73=0,"",I73/$C73)</f>
        <v>0.828148913303535</v>
      </c>
    </row>
    <row r="74" customFormat="false" ht="15" hidden="false" customHeight="false" outlineLevel="0" collapsed="false">
      <c r="B74" s="1" t="s">
        <v>88</v>
      </c>
      <c r="K74" s="6" t="n">
        <f aca="false">QUARTILE(K55:K73,1)</f>
        <v>1</v>
      </c>
      <c r="L74" s="6" t="n">
        <f aca="false">QUARTILE(L55:L73,1)</f>
        <v>0.735649665661395</v>
      </c>
      <c r="M74" s="6" t="n">
        <f aca="false">QUARTILE(M55:M73,1)</f>
        <v>0.638783100870918</v>
      </c>
      <c r="N74" s="6" t="n">
        <f aca="false">QUARTILE(N55:N73,1)</f>
        <v>0.770183349256577</v>
      </c>
      <c r="O74" s="6" t="n">
        <f aca="false">QUARTILE(O55:O73,1)</f>
        <v>0.641514492443873</v>
      </c>
      <c r="P74" s="6" t="n">
        <f aca="false">QUARTILE(P55:P73,1)</f>
        <v>0.741236962569157</v>
      </c>
      <c r="Q74" s="6" t="n">
        <f aca="false">QUARTILE(Q55:Q73,1)</f>
        <v>0.582451686877313</v>
      </c>
    </row>
    <row r="75" customFormat="false" ht="15" hidden="false" customHeight="false" outlineLevel="0" collapsed="false">
      <c r="B75" s="1" t="s">
        <v>89</v>
      </c>
      <c r="K75" s="6" t="n">
        <f aca="false">MEDIAN(K55:K73)</f>
        <v>1</v>
      </c>
      <c r="L75" s="6" t="n">
        <f aca="false">MEDIAN(L55:L73)</f>
        <v>1.11093273447961</v>
      </c>
      <c r="M75" s="6" t="n">
        <f aca="false">MEDIAN(M55:M73)</f>
        <v>0.838975815462602</v>
      </c>
      <c r="N75" s="6" t="n">
        <f aca="false">MEDIAN(N55:N73)</f>
        <v>0.926289241662013</v>
      </c>
      <c r="O75" s="6" t="n">
        <f aca="false">MEDIAN(O55:O73)</f>
        <v>1.03753701757217</v>
      </c>
      <c r="P75" s="6" t="n">
        <f aca="false">MEDIAN(P55:P73)</f>
        <v>1.15334737271152</v>
      </c>
      <c r="Q75" s="6" t="n">
        <f aca="false">MEDIAN(Q55:Q73)</f>
        <v>0.960962653140442</v>
      </c>
    </row>
    <row r="76" customFormat="false" ht="15" hidden="false" customHeight="false" outlineLevel="0" collapsed="false">
      <c r="B76" s="1" t="s">
        <v>90</v>
      </c>
      <c r="K76" s="6" t="n">
        <f aca="false">QUARTILE(K55:K73,3)</f>
        <v>1</v>
      </c>
      <c r="L76" s="6" t="n">
        <f aca="false">QUARTILE(L55:L73,3)</f>
        <v>1.25034969401549</v>
      </c>
      <c r="M76" s="6" t="n">
        <f aca="false">QUARTILE(M55:M73,3)</f>
        <v>1.28999630645832</v>
      </c>
      <c r="N76" s="6" t="n">
        <f aca="false">QUARTILE(N55:N73,3)</f>
        <v>1.63267261911328</v>
      </c>
      <c r="O76" s="6" t="n">
        <f aca="false">QUARTILE(O55:O73,3)</f>
        <v>1.47110334829957</v>
      </c>
      <c r="P76" s="6" t="n">
        <f aca="false">QUARTILE(P55:P73,3)</f>
        <v>1.46163479118477</v>
      </c>
      <c r="Q76" s="6" t="n">
        <f aca="false">QUARTILE(Q55:Q73,3)</f>
        <v>1.69415364519108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13"/>
  </cols>
  <sheetData>
    <row r="1" customFormat="false" ht="15" hidden="false" customHeight="false" outlineLevel="0" collapsed="false">
      <c r="A1" s="3" t="s">
        <v>16</v>
      </c>
      <c r="B1" s="3" t="s">
        <v>108</v>
      </c>
      <c r="C1" s="3" t="s">
        <v>109</v>
      </c>
      <c r="D1" s="3" t="s">
        <v>110</v>
      </c>
      <c r="E1" s="3" t="s">
        <v>111</v>
      </c>
      <c r="F1" s="3" t="s">
        <v>109</v>
      </c>
      <c r="G1" s="3" t="s">
        <v>110</v>
      </c>
      <c r="H1" s="3" t="s">
        <v>112</v>
      </c>
      <c r="I1" s="3" t="s">
        <v>113</v>
      </c>
      <c r="J1" s="3" t="s">
        <v>114</v>
      </c>
      <c r="K1" s="3" t="s">
        <v>115</v>
      </c>
      <c r="L1" s="3" t="s">
        <v>113</v>
      </c>
      <c r="M1" s="3" t="s">
        <v>114</v>
      </c>
      <c r="N1" s="3" t="s">
        <v>116</v>
      </c>
      <c r="O1" s="3" t="s">
        <v>113</v>
      </c>
      <c r="P1" s="3" t="s">
        <v>114</v>
      </c>
    </row>
    <row r="2" customFormat="false" ht="15" hidden="false" customHeight="false" outlineLevel="0" collapsed="false">
      <c r="A2" s="2" t="n">
        <v>2017</v>
      </c>
      <c r="B2" s="5" t="n">
        <v>1</v>
      </c>
      <c r="C2" s="5" t="n">
        <v>1</v>
      </c>
      <c r="D2" s="5" t="n">
        <v>1</v>
      </c>
      <c r="E2" s="5" t="n">
        <v>1</v>
      </c>
      <c r="F2" s="5" t="n">
        <v>1</v>
      </c>
      <c r="G2" s="5" t="n">
        <v>1</v>
      </c>
      <c r="H2" s="5" t="n">
        <v>1</v>
      </c>
      <c r="I2" s="5" t="n">
        <v>1</v>
      </c>
      <c r="J2" s="5" t="n">
        <v>1</v>
      </c>
      <c r="K2" s="5" t="n">
        <v>1</v>
      </c>
      <c r="L2" s="5" t="n">
        <v>1</v>
      </c>
      <c r="M2" s="5" t="n">
        <v>1</v>
      </c>
      <c r="N2" s="5" t="n">
        <v>1</v>
      </c>
      <c r="O2" s="5" t="n">
        <v>1</v>
      </c>
      <c r="P2" s="5" t="n">
        <v>1</v>
      </c>
    </row>
    <row r="3" customFormat="false" ht="15" hidden="false" customHeight="false" outlineLevel="0" collapsed="false">
      <c r="A3" s="2" t="n">
        <v>2018</v>
      </c>
      <c r="B3" s="5" t="n">
        <v>1.01942410681716</v>
      </c>
      <c r="C3" s="5" t="n">
        <v>0.98373987845283</v>
      </c>
      <c r="D3" s="5" t="n">
        <v>1.10381100536152</v>
      </c>
      <c r="E3" s="5" t="n">
        <v>1.06070378785632</v>
      </c>
      <c r="F3" s="5" t="n">
        <v>0.969365698930651</v>
      </c>
      <c r="G3" s="5" t="n">
        <v>1.1037994701642</v>
      </c>
      <c r="H3" s="5" t="n">
        <v>1.04591803301398</v>
      </c>
      <c r="I3" s="5" t="n">
        <v>0.980508609124698</v>
      </c>
      <c r="J3" s="5" t="n">
        <v>1.12184365623324</v>
      </c>
      <c r="K3" s="5" t="n">
        <v>1.06924290696364</v>
      </c>
      <c r="L3" s="5" t="n">
        <v>1.01056181976273</v>
      </c>
      <c r="M3" s="5" t="n">
        <v>1.14386914748292</v>
      </c>
      <c r="N3" s="5" t="n">
        <v>1.11093273447961</v>
      </c>
      <c r="O3" s="5" t="n">
        <v>0.746362451914255</v>
      </c>
      <c r="P3" s="5" t="n">
        <v>1.22516504864858</v>
      </c>
    </row>
    <row r="4" customFormat="false" ht="15" hidden="false" customHeight="false" outlineLevel="0" collapsed="false">
      <c r="A4" s="2" t="n">
        <v>2019</v>
      </c>
      <c r="B4" s="5" t="n">
        <v>0.99558193982829</v>
      </c>
      <c r="C4" s="5" t="n">
        <v>0.949415564327108</v>
      </c>
      <c r="D4" s="5" t="n">
        <v>1.08986582796175</v>
      </c>
      <c r="E4" s="5" t="n">
        <v>1.04982996901843</v>
      </c>
      <c r="F4" s="5" t="n">
        <v>0.995792660450069</v>
      </c>
      <c r="G4" s="5" t="n">
        <v>1.10699110405927</v>
      </c>
      <c r="H4" s="5" t="n">
        <v>1.03640486970275</v>
      </c>
      <c r="I4" s="5" t="n">
        <v>0.972339160307147</v>
      </c>
      <c r="J4" s="5" t="n">
        <v>1.11314308197319</v>
      </c>
      <c r="K4" s="5" t="n">
        <v>1.07250822594387</v>
      </c>
      <c r="L4" s="5" t="n">
        <v>1.01508739301918</v>
      </c>
      <c r="M4" s="5" t="n">
        <v>1.14533253150852</v>
      </c>
      <c r="N4" s="5" t="n">
        <v>0.838975815462602</v>
      </c>
      <c r="O4" s="5" t="n">
        <v>0.649567098807255</v>
      </c>
      <c r="P4" s="5" t="n">
        <v>1.28477482027729</v>
      </c>
    </row>
    <row r="5" customFormat="false" ht="15" hidden="false" customHeight="false" outlineLevel="0" collapsed="false">
      <c r="A5" s="2" t="n">
        <v>2020</v>
      </c>
      <c r="B5" s="5" t="n">
        <v>1.05698325690995</v>
      </c>
      <c r="C5" s="5" t="n">
        <v>0.97037985882345</v>
      </c>
      <c r="D5" s="5" t="n">
        <v>1.10575073861254</v>
      </c>
      <c r="E5" s="5" t="n">
        <v>1.08281415332185</v>
      </c>
      <c r="F5" s="5" t="n">
        <v>1.06621929645107</v>
      </c>
      <c r="G5" s="5" t="n">
        <v>1.18256598584224</v>
      </c>
      <c r="H5" s="5" t="n">
        <v>1.09002394724869</v>
      </c>
      <c r="I5" s="5" t="n">
        <v>1.00971561501549</v>
      </c>
      <c r="J5" s="5" t="n">
        <v>1.19068701693859</v>
      </c>
      <c r="K5" s="5" t="n">
        <v>1.13048105145706</v>
      </c>
      <c r="L5" s="5" t="n">
        <v>1.06609249006699</v>
      </c>
      <c r="M5" s="5" t="n">
        <v>1.21229567600273</v>
      </c>
      <c r="N5" s="5" t="n">
        <v>0.926289241662013</v>
      </c>
      <c r="O5" s="5" t="n">
        <v>0.788624538234409</v>
      </c>
      <c r="P5" s="5" t="n">
        <v>1.57997801425488</v>
      </c>
    </row>
    <row r="6" customFormat="false" ht="15" hidden="false" customHeight="false" outlineLevel="0" collapsed="false">
      <c r="A6" s="2" t="n">
        <v>2021</v>
      </c>
      <c r="B6" s="5" t="n">
        <v>1.04422469124248</v>
      </c>
      <c r="C6" s="5" t="n">
        <v>0.9583595443769</v>
      </c>
      <c r="D6" s="5" t="n">
        <v>1.13591565024828</v>
      </c>
      <c r="E6" s="5" t="n">
        <v>1.06020994420068</v>
      </c>
      <c r="F6" s="5" t="n">
        <v>1.02395248961429</v>
      </c>
      <c r="G6" s="5" t="n">
        <v>1.16206614130525</v>
      </c>
      <c r="H6" s="5" t="n">
        <v>1.03527270628236</v>
      </c>
      <c r="I6" s="5" t="n">
        <v>0.96410341829892</v>
      </c>
      <c r="J6" s="5" t="n">
        <v>1.11175171786415</v>
      </c>
      <c r="K6" s="5" t="n">
        <v>1.06851504022397</v>
      </c>
      <c r="L6" s="5" t="n">
        <v>1.01443339962377</v>
      </c>
      <c r="M6" s="5" t="n">
        <v>1.1294460532799</v>
      </c>
      <c r="N6" s="5" t="n">
        <v>1.03753701757217</v>
      </c>
      <c r="O6" s="5" t="n">
        <v>0.719440134713529</v>
      </c>
      <c r="P6" s="5" t="n">
        <v>1.36055362673959</v>
      </c>
    </row>
    <row r="7" customFormat="false" ht="15" hidden="false" customHeight="false" outlineLevel="0" collapsed="false">
      <c r="A7" s="2" t="n">
        <v>2022</v>
      </c>
      <c r="B7" s="5" t="n">
        <v>1.04866311324955</v>
      </c>
      <c r="C7" s="5" t="n">
        <v>1.00151506818707</v>
      </c>
      <c r="D7" s="5" t="n">
        <v>1.14158303022364</v>
      </c>
      <c r="E7" s="5" t="n">
        <v>1.08971441389331</v>
      </c>
      <c r="F7" s="5" t="n">
        <v>1.00509609037958</v>
      </c>
      <c r="G7" s="5" t="n">
        <v>1.13485386567435</v>
      </c>
      <c r="H7" s="5" t="n">
        <v>1.06380121893854</v>
      </c>
      <c r="I7" s="5" t="n">
        <v>0.971771758617389</v>
      </c>
      <c r="J7" s="5" t="n">
        <v>1.16009947069644</v>
      </c>
      <c r="K7" s="5" t="n">
        <v>1.08647274102482</v>
      </c>
      <c r="L7" s="5" t="n">
        <v>1.03200970465938</v>
      </c>
      <c r="M7" s="5" t="n">
        <v>1.15220754155231</v>
      </c>
      <c r="N7" s="5" t="n">
        <v>1.15334737271153</v>
      </c>
      <c r="O7" s="5" t="n">
        <v>0.87802473763985</v>
      </c>
      <c r="P7" s="5" t="n">
        <v>1.44408688656476</v>
      </c>
    </row>
    <row r="8" customFormat="false" ht="15" hidden="false" customHeight="false" outlineLevel="0" collapsed="false">
      <c r="A8" s="2" t="n">
        <v>2023</v>
      </c>
      <c r="B8" s="5" t="n">
        <v>1.02810229645898</v>
      </c>
      <c r="C8" s="5" t="n">
        <v>0.995292833329466</v>
      </c>
      <c r="D8" s="5" t="n">
        <v>1.15640656995277</v>
      </c>
      <c r="E8" s="5" t="n">
        <v>1.04580757284276</v>
      </c>
      <c r="F8" s="5" t="n">
        <v>1.01176921804527</v>
      </c>
      <c r="G8" s="5" t="n">
        <v>1.19971068322635</v>
      </c>
      <c r="H8" s="5" t="n">
        <v>1.08897545170081</v>
      </c>
      <c r="I8" s="5" t="n">
        <v>1.00348346192846</v>
      </c>
      <c r="J8" s="5" t="n">
        <v>1.18794068956783</v>
      </c>
      <c r="K8" s="5" t="n">
        <v>1.10300569493773</v>
      </c>
      <c r="L8" s="5" t="n">
        <v>1.04392569185559</v>
      </c>
      <c r="M8" s="5" t="n">
        <v>1.1653883588306</v>
      </c>
      <c r="N8" s="5" t="n">
        <v>0.960962653140442</v>
      </c>
      <c r="O8" s="5" t="n">
        <v>0.744171666437552</v>
      </c>
      <c r="P8" s="5" t="n">
        <v>1.67441860465116</v>
      </c>
    </row>
    <row r="10" customFormat="false" ht="15" hidden="false" customHeight="false" outlineLevel="0" collapsed="false">
      <c r="A10" s="2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9" min="5" style="0" width="14"/>
    <col collapsed="false" customWidth="true" hidden="false" outlineLevel="0" max="14" min="10" style="0" width="12"/>
  </cols>
  <sheetData>
    <row r="1" customFormat="false" ht="15" hidden="false" customHeight="false" outlineLevel="0" collapsed="false">
      <c r="A1" s="3" t="s">
        <v>13</v>
      </c>
      <c r="B1" s="3" t="s">
        <v>118</v>
      </c>
      <c r="C1" s="3" t="s">
        <v>119</v>
      </c>
      <c r="D1" s="3" t="s">
        <v>120</v>
      </c>
      <c r="E1" s="3" t="s">
        <v>121</v>
      </c>
      <c r="F1" s="3" t="s">
        <v>122</v>
      </c>
      <c r="G1" s="3" t="s">
        <v>123</v>
      </c>
      <c r="H1" s="3" t="s">
        <v>124</v>
      </c>
      <c r="I1" s="3" t="s">
        <v>125</v>
      </c>
      <c r="J1" s="3" t="s">
        <v>126</v>
      </c>
      <c r="K1" s="3" t="s">
        <v>127</v>
      </c>
      <c r="L1" s="3" t="s">
        <v>128</v>
      </c>
      <c r="M1" s="3" t="s">
        <v>129</v>
      </c>
      <c r="N1" s="3" t="s">
        <v>130</v>
      </c>
    </row>
    <row r="2" customFormat="false" ht="15" hidden="false" customHeight="false" outlineLevel="0" collapsed="false">
      <c r="A2" s="2" t="n">
        <v>1002301</v>
      </c>
      <c r="B2" s="2" t="s">
        <v>131</v>
      </c>
      <c r="C2" s="7" t="n">
        <v>4335</v>
      </c>
      <c r="D2" s="4" t="n">
        <f aca="false">C2*0.90718474</f>
        <v>3932.6458479</v>
      </c>
      <c r="E2" s="4" t="n">
        <f aca="false">SUMIFS(EPA_panel!F:F,EPA_panel!A:A,A2,EPA_panel!D:D,2022)</f>
        <v>9155496.092</v>
      </c>
      <c r="F2" s="4" t="n">
        <f aca="false">SUMIFS(EPA_panel!G:G,EPA_panel!A:A,A2,EPA_panel!D:D,2022)</f>
        <v>7827402</v>
      </c>
      <c r="G2" s="4" t="n">
        <f aca="false">SUMIFS(EPA_panel!H:H,EPA_panel!A:A,A2,EPA_panel!D:D,2022)</f>
        <v>1326712.092</v>
      </c>
      <c r="H2" s="4" t="n">
        <f aca="false">SUMIFS(EPA_panel!J:J,EPA_panel!A:A,A2,EPA_panel!D:D,2022)</f>
        <v>4894258.6</v>
      </c>
      <c r="I2" s="4" t="n">
        <f aca="false">SUMIFS(EPA_panel!I:I,EPA_panel!A:A,A2,EPA_panel!D:D,2022)</f>
        <v>2936172.744</v>
      </c>
      <c r="J2" s="5" t="n">
        <f aca="false">F2/(D2*1000)</f>
        <v>1.99036534250339</v>
      </c>
      <c r="K2" s="5" t="n">
        <f aca="false">H2/(D2*1000)</f>
        <v>1.24452055671718</v>
      </c>
      <c r="L2" s="5" t="n">
        <f aca="false">I2/(D2*1000)</f>
        <v>0.746615092627243</v>
      </c>
      <c r="M2" s="5" t="n">
        <f aca="false">G2/(D2*1000)</f>
        <v>0.337358649446772</v>
      </c>
      <c r="N2" s="5" t="n">
        <f aca="false">E2/(D2*1000)</f>
        <v>2.32807540930464</v>
      </c>
    </row>
    <row r="3" customFormat="false" ht="15" hidden="false" customHeight="false" outlineLevel="0" collapsed="false">
      <c r="A3" s="2" t="n">
        <v>1006005</v>
      </c>
      <c r="B3" s="2" t="s">
        <v>132</v>
      </c>
      <c r="C3" s="7" t="n">
        <v>1230</v>
      </c>
      <c r="D3" s="4" t="n">
        <f aca="false">C3*0.90718474</f>
        <v>1115.8372302</v>
      </c>
      <c r="E3" s="4" t="n">
        <f aca="false">SUMIFS(EPA_panel!F:F,EPA_panel!A:A,A3,EPA_panel!D:D,2022)</f>
        <v>3180457.416</v>
      </c>
      <c r="F3" s="4" t="n">
        <f aca="false">SUMIFS(EPA_panel!G:G,EPA_panel!A:A,A3,EPA_panel!D:D,2022)</f>
        <v>2563756</v>
      </c>
      <c r="G3" s="4" t="n">
        <f aca="false">SUMIFS(EPA_panel!H:H,EPA_panel!A:A,A3,EPA_panel!D:D,2022)</f>
        <v>616216.916</v>
      </c>
      <c r="H3" s="4" t="n">
        <f aca="false">SUMIFS(EPA_panel!J:J,EPA_panel!A:A,A3,EPA_panel!D:D,2022)</f>
        <v>1626175.4</v>
      </c>
      <c r="I3" s="4" t="n">
        <f aca="false">SUMIFS(EPA_panel!I:I,EPA_panel!A:A,A3,EPA_panel!D:D,2022)</f>
        <v>938642.624</v>
      </c>
      <c r="J3" s="5" t="n">
        <f aca="false">F3/(D3*1000)</f>
        <v>2.29760750995957</v>
      </c>
      <c r="K3" s="5" t="n">
        <f aca="false">H3/(D3*1000)</f>
        <v>1.45735897314389</v>
      </c>
      <c r="L3" s="5" t="n">
        <f aca="false">I3/(D3*1000)</f>
        <v>0.841200310041421</v>
      </c>
      <c r="M3" s="5" t="n">
        <f aca="false">G3/(D3*1000)</f>
        <v>0.552246241048572</v>
      </c>
      <c r="N3" s="5" t="n">
        <f aca="false">E3/(D3*1000)</f>
        <v>2.85028795412207</v>
      </c>
    </row>
    <row r="4" customFormat="false" ht="15" hidden="false" customHeight="false" outlineLevel="0" collapsed="false">
      <c r="A4" s="2" t="n">
        <v>1002275</v>
      </c>
      <c r="B4" s="2" t="s">
        <v>133</v>
      </c>
      <c r="C4" s="7" t="n">
        <v>1210</v>
      </c>
      <c r="D4" s="4" t="n">
        <f aca="false">C4*0.90718474</f>
        <v>1097.6935354</v>
      </c>
      <c r="E4" s="4" t="n">
        <f aca="false">SUMIFS(EPA_panel!F:F,EPA_panel!A:A,A4,EPA_panel!D:D,2022)</f>
        <v>3698601.678</v>
      </c>
      <c r="F4" s="4" t="n">
        <f aca="false">SUMIFS(EPA_panel!G:G,EPA_panel!A:A,A4,EPA_panel!D:D,2022)</f>
        <v>2226326.9</v>
      </c>
      <c r="G4" s="4" t="n">
        <f aca="false">SUMIFS(EPA_panel!H:H,EPA_panel!A:A,A4,EPA_panel!D:D,2022)</f>
        <v>1471825.278</v>
      </c>
      <c r="H4" s="4" t="n">
        <f aca="false">SUMIFS(EPA_panel!J:J,EPA_panel!A:A,A4,EPA_panel!D:D,2022)</f>
        <v>1272276.9</v>
      </c>
      <c r="I4" s="4" t="n">
        <f aca="false">SUMIFS(EPA_panel!I:I,EPA_panel!A:A,A4,EPA_panel!D:D,2022)</f>
        <v>955035.304</v>
      </c>
      <c r="J4" s="5" t="n">
        <f aca="false">F4/(D4*1000)</f>
        <v>2.02818621792168</v>
      </c>
      <c r="K4" s="5" t="n">
        <f aca="false">H4/(D4*1000)</f>
        <v>1.15904563429572</v>
      </c>
      <c r="L4" s="5" t="n">
        <f aca="false">I4/(D4*1000)</f>
        <v>0.870038196637447</v>
      </c>
      <c r="M4" s="5" t="n">
        <f aca="false">G4/(D4*1000)</f>
        <v>1.34083442284614</v>
      </c>
      <c r="N4" s="5" t="n">
        <f aca="false">E4/(D4*1000)</f>
        <v>3.36943013575481</v>
      </c>
    </row>
    <row r="5" customFormat="false" ht="15" hidden="false" customHeight="false" outlineLevel="0" collapsed="false">
      <c r="A5" s="2" t="n">
        <v>1005788</v>
      </c>
      <c r="B5" s="2" t="s">
        <v>134</v>
      </c>
      <c r="C5" s="7" t="n">
        <v>480</v>
      </c>
      <c r="D5" s="4" t="n">
        <f aca="false">C5*0.90718474</f>
        <v>435.4486752</v>
      </c>
      <c r="E5" s="4" t="n">
        <f aca="false">SUMIFS(EPA_panel!F:F,EPA_panel!A:A,A5,EPA_panel!D:D,2022)</f>
        <v>1303743.318</v>
      </c>
      <c r="F5" s="4" t="n">
        <f aca="false">SUMIFS(EPA_panel!G:G,EPA_panel!A:A,A5,EPA_panel!D:D,2022)</f>
        <v>942378.3</v>
      </c>
      <c r="G5" s="4" t="n">
        <f aca="false">SUMIFS(EPA_panel!H:H,EPA_panel!A:A,A5,EPA_panel!D:D,2022)</f>
        <v>361180.768</v>
      </c>
      <c r="H5" s="4" t="n">
        <f aca="false">SUMIFS(EPA_panel!J:J,EPA_panel!A:A,A5,EPA_panel!D:D,2022)</f>
        <v>551356.8</v>
      </c>
      <c r="I5" s="4" t="n">
        <f aca="false">SUMIFS(EPA_panel!I:I,EPA_panel!A:A,A5,EPA_panel!D:D,2022)</f>
        <v>391425.376</v>
      </c>
      <c r="J5" s="5" t="n">
        <f aca="false">F5/(D5*1000)</f>
        <v>2.16415470679103</v>
      </c>
      <c r="K5" s="5" t="n">
        <f aca="false">H5/(D5*1000)</f>
        <v>1.26618091040641</v>
      </c>
      <c r="L5" s="5" t="n">
        <f aca="false">I5/(D5*1000)</f>
        <v>0.898901290307566</v>
      </c>
      <c r="M5" s="5" t="n">
        <f aca="false">G5/(D5*1000)</f>
        <v>0.829445095530744</v>
      </c>
      <c r="N5" s="5" t="n">
        <f aca="false">E5/(D5*1000)</f>
        <v>2.99402292911144</v>
      </c>
    </row>
    <row r="6" customFormat="false" ht="15" hidden="false" customHeight="false" outlineLevel="0" collapsed="false">
      <c r="A6" s="2" t="n">
        <v>1004183</v>
      </c>
      <c r="B6" s="2" t="s">
        <v>135</v>
      </c>
      <c r="C6" s="7" t="n">
        <v>570</v>
      </c>
      <c r="D6" s="4" t="n">
        <f aca="false">C6*0.90718474</f>
        <v>517.0953018</v>
      </c>
      <c r="E6" s="4" t="n">
        <f aca="false">SUMIFS(EPA_panel!F:F,EPA_panel!A:A,A6,EPA_panel!D:D,2022)</f>
        <v>2454970.972</v>
      </c>
      <c r="F6" s="4" t="n">
        <f aca="false">SUMIFS(EPA_panel!G:G,EPA_panel!A:A,A6,EPA_panel!D:D,2022)</f>
        <v>1131049.4</v>
      </c>
      <c r="G6" s="4" t="n">
        <f aca="false">SUMIFS(EPA_panel!H:H,EPA_panel!A:A,A6,EPA_panel!D:D,2022)</f>
        <v>1323697.822</v>
      </c>
      <c r="H6" s="4" t="n">
        <f aca="false">SUMIFS(EPA_panel!J:J,EPA_panel!A:A,A6,EPA_panel!D:D,2022)</f>
        <v>656263.3</v>
      </c>
      <c r="I6" s="4" t="n">
        <f aca="false">SUMIFS(EPA_panel!I:I,EPA_panel!A:A,A6,EPA_panel!D:D,2022)</f>
        <v>475276.56</v>
      </c>
      <c r="J6" s="5" t="n">
        <f aca="false">F6/(D6*1000)</f>
        <v>2.18731324006007</v>
      </c>
      <c r="K6" s="5" t="n">
        <f aca="false">H6/(D6*1000)</f>
        <v>1.26913413777994</v>
      </c>
      <c r="L6" s="5" t="n">
        <f aca="false">I6/(D6*1000)</f>
        <v>0.919127592816199</v>
      </c>
      <c r="M6" s="5" t="n">
        <f aca="false">G6/(D6*1000)</f>
        <v>2.55987207269575</v>
      </c>
      <c r="N6" s="5" t="n">
        <f aca="false">E6/(D6*1000)</f>
        <v>4.74761801829235</v>
      </c>
    </row>
    <row r="8" customFormat="false" ht="15" hidden="false" customHeight="false" outlineLevel="0" collapsed="false">
      <c r="B8" s="1" t="s">
        <v>136</v>
      </c>
      <c r="J8" s="6" t="n">
        <f aca="false">MIN(J2:J6)</f>
        <v>1.99036534250339</v>
      </c>
      <c r="K8" s="6" t="n">
        <f aca="false">MIN(K2:K6)</f>
        <v>1.15904563429572</v>
      </c>
      <c r="L8" s="6" t="n">
        <f aca="false">MIN(L2:L6)</f>
        <v>0.746615092627243</v>
      </c>
      <c r="M8" s="6" t="n">
        <f aca="false">MIN(M2:M6)</f>
        <v>0.337358649446772</v>
      </c>
      <c r="N8" s="6" t="n">
        <f aca="false">MIN(N2:N6)</f>
        <v>2.32807540930464</v>
      </c>
    </row>
    <row r="9" customFormat="false" ht="15" hidden="false" customHeight="false" outlineLevel="0" collapsed="false">
      <c r="B9" s="1" t="s">
        <v>89</v>
      </c>
      <c r="J9" s="6" t="n">
        <f aca="false">MEDIAN(J2:J6)</f>
        <v>2.16415470679103</v>
      </c>
      <c r="K9" s="6" t="n">
        <f aca="false">MEDIAN(K2:K6)</f>
        <v>1.26618091040641</v>
      </c>
      <c r="L9" s="6" t="n">
        <f aca="false">MEDIAN(L2:L6)</f>
        <v>0.870038196637447</v>
      </c>
      <c r="M9" s="6" t="n">
        <f aca="false">MEDIAN(M2:M6)</f>
        <v>0.829445095530744</v>
      </c>
      <c r="N9" s="6" t="n">
        <f aca="false">MEDIAN(N2:N6)</f>
        <v>2.99402292911144</v>
      </c>
    </row>
    <row r="10" customFormat="false" ht="15" hidden="false" customHeight="false" outlineLevel="0" collapsed="false">
      <c r="B10" s="1" t="s">
        <v>137</v>
      </c>
      <c r="J10" s="6" t="n">
        <f aca="false">MAX(J2:J6)</f>
        <v>2.29760750995957</v>
      </c>
      <c r="K10" s="6" t="n">
        <f aca="false">MAX(K2:K6)</f>
        <v>1.45735897314389</v>
      </c>
      <c r="L10" s="6" t="n">
        <f aca="false">MAX(L2:L6)</f>
        <v>0.919127592816199</v>
      </c>
      <c r="M10" s="6" t="n">
        <f aca="false">MAX(M2:M6)</f>
        <v>2.55987207269575</v>
      </c>
      <c r="N10" s="6" t="n">
        <f aca="false">MAX(N2:N6)</f>
        <v>4.74761801829235</v>
      </c>
    </row>
    <row r="12" customFormat="false" ht="15" hidden="false" customHeight="false" outlineLevel="0" collapsed="false">
      <c r="A12" s="2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3" t="s">
        <v>139</v>
      </c>
      <c r="B1" s="3" t="s">
        <v>140</v>
      </c>
      <c r="C1" s="3" t="s">
        <v>141</v>
      </c>
      <c r="D1" s="3" t="s">
        <v>142</v>
      </c>
      <c r="E1" s="3" t="s">
        <v>143</v>
      </c>
      <c r="F1" s="3" t="s">
        <v>144</v>
      </c>
    </row>
    <row r="2" customFormat="false" ht="15" hidden="false" customHeight="false" outlineLevel="0" collapsed="false">
      <c r="A2" s="2" t="s">
        <v>131</v>
      </c>
      <c r="B2" s="4" t="n">
        <v>5663868</v>
      </c>
      <c r="C2" s="4" t="n">
        <f aca="false">SUMIFS(EPA_panel!F:F,EPA_panel!A:A,1002301,EPA_panel!D:D,2023)</f>
        <v>9475265.746</v>
      </c>
      <c r="D2" s="2" t="n">
        <v>2023</v>
      </c>
      <c r="E2" s="8" t="n">
        <f aca="false">C2/B2</f>
        <v>1.67293195145085</v>
      </c>
      <c r="F2" s="2" t="s">
        <v>145</v>
      </c>
    </row>
    <row r="3" customFormat="false" ht="15" hidden="false" customHeight="false" outlineLevel="0" collapsed="false">
      <c r="A3" s="2" t="s">
        <v>132</v>
      </c>
      <c r="B3" s="4" t="n">
        <v>1152173</v>
      </c>
      <c r="C3" s="4" t="n">
        <f aca="false">SUMIFS(EPA_panel!F:F,EPA_panel!A:A,1006005,EPA_panel!D:D,2023)</f>
        <v>3191236.552</v>
      </c>
      <c r="D3" s="2" t="n">
        <v>2023</v>
      </c>
      <c r="E3" s="8" t="n">
        <f aca="false">C3/B3</f>
        <v>2.76975467399427</v>
      </c>
      <c r="F3" s="2" t="s">
        <v>145</v>
      </c>
    </row>
    <row r="4" customFormat="false" ht="15" hidden="false" customHeight="false" outlineLevel="0" collapsed="false">
      <c r="A4" s="2" t="s">
        <v>133</v>
      </c>
      <c r="B4" s="4" t="n">
        <v>1437192</v>
      </c>
      <c r="C4" s="4" t="n">
        <f aca="false">SUMIFS(EPA_panel!F:F,EPA_panel!A:A,1002275,EPA_panel!D:D,2023)</f>
        <v>3354662.502</v>
      </c>
      <c r="D4" s="2" t="n">
        <v>2023</v>
      </c>
      <c r="E4" s="8" t="n">
        <f aca="false">C4/B4</f>
        <v>2.33417838535144</v>
      </c>
      <c r="F4" s="2" t="s">
        <v>145</v>
      </c>
    </row>
    <row r="5" customFormat="false" ht="15" hidden="false" customHeight="false" outlineLevel="0" collapsed="false">
      <c r="A5" s="2" t="s">
        <v>134</v>
      </c>
      <c r="B5" s="4" t="n">
        <v>1440217</v>
      </c>
      <c r="C5" s="4" t="n">
        <f aca="false">SUMIFS(EPA_panel!F:F,EPA_panel!A:A,1005788,EPA_panel!D:D,2023)</f>
        <v>1190499.648</v>
      </c>
      <c r="D5" s="2" t="n">
        <v>2023</v>
      </c>
      <c r="E5" s="8" t="n">
        <f aca="false">C5/B5</f>
        <v>0.826611300935901</v>
      </c>
      <c r="F5" s="2" t="s">
        <v>145</v>
      </c>
    </row>
    <row r="6" customFormat="false" ht="15" hidden="false" customHeight="false" outlineLevel="0" collapsed="false">
      <c r="A6" s="2" t="s">
        <v>146</v>
      </c>
      <c r="B6" s="4" t="n">
        <v>2626178</v>
      </c>
      <c r="C6" s="4" t="n">
        <v>2750148</v>
      </c>
      <c r="D6" s="2" t="n">
        <v>2023</v>
      </c>
      <c r="E6" s="8" t="n">
        <f aca="false">C6/B6</f>
        <v>1.04720548264436</v>
      </c>
      <c r="F6" s="2" t="s">
        <v>147</v>
      </c>
    </row>
    <row r="8" customFormat="false" ht="15" hidden="false" customHeight="false" outlineLevel="0" collapsed="false">
      <c r="A8" s="1" t="s">
        <v>136</v>
      </c>
      <c r="E8" s="8" t="n">
        <f aca="false">MIN(E2:E6)</f>
        <v>0.826611300935901</v>
      </c>
    </row>
    <row r="9" customFormat="false" ht="15" hidden="false" customHeight="false" outlineLevel="0" collapsed="false">
      <c r="A9" s="1" t="s">
        <v>89</v>
      </c>
      <c r="E9" s="8" t="n">
        <f aca="false">MEDIAN(E2:E6)</f>
        <v>1.67293195145085</v>
      </c>
    </row>
    <row r="10" customFormat="false" ht="15" hidden="false" customHeight="false" outlineLevel="0" collapsed="false">
      <c r="A10" s="1" t="s">
        <v>137</v>
      </c>
      <c r="E10" s="8" t="n">
        <f aca="false">MAX(E2:E6)</f>
        <v>2.76975467399427</v>
      </c>
    </row>
    <row r="12" customFormat="false" ht="15" hidden="false" customHeight="false" outlineLevel="0" collapsed="false">
      <c r="A12" s="2" t="s">
        <v>148</v>
      </c>
      <c r="B12" s="4" t="n">
        <v>1444447</v>
      </c>
    </row>
    <row r="13" customFormat="false" ht="15" hidden="false" customHeight="false" outlineLevel="0" collapsed="false">
      <c r="A13" s="2" t="s">
        <v>149</v>
      </c>
      <c r="C13" s="9" t="n">
        <f aca="false">B12*E9</f>
        <v>2416461.53847732</v>
      </c>
    </row>
    <row r="14" customFormat="false" ht="15" hidden="false" customHeight="false" outlineLevel="0" collapsed="false">
      <c r="A14" s="2" t="s">
        <v>150</v>
      </c>
      <c r="C14" s="9" t="n">
        <f aca="false">B12*E8</f>
        <v>1193996.21380296</v>
      </c>
      <c r="D14" s="9" t="n">
        <f aca="false">B12*E10</f>
        <v>4000763.829587</v>
      </c>
    </row>
    <row r="16" customFormat="false" ht="15" hidden="false" customHeight="false" outlineLevel="0" collapsed="false">
      <c r="A16" s="2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3" t="s">
        <v>16</v>
      </c>
      <c r="B1" s="3" t="s">
        <v>152</v>
      </c>
      <c r="C1" s="3" t="s">
        <v>153</v>
      </c>
      <c r="D1" s="3" t="s">
        <v>154</v>
      </c>
      <c r="E1" s="3" t="s">
        <v>155</v>
      </c>
    </row>
    <row r="2" customFormat="false" ht="15" hidden="false" customHeight="false" outlineLevel="0" collapsed="false">
      <c r="A2" s="2" t="n">
        <v>2017</v>
      </c>
      <c r="B2" s="4" t="n">
        <v>3828</v>
      </c>
      <c r="C2" s="6" t="n">
        <f aca="false">B2/$B$2</f>
        <v>1</v>
      </c>
      <c r="D2" s="4" t="n">
        <v>3580</v>
      </c>
      <c r="E2" s="4" t="n">
        <v>245</v>
      </c>
    </row>
    <row r="3" customFormat="false" ht="15" hidden="false" customHeight="false" outlineLevel="0" collapsed="false">
      <c r="A3" s="2" t="n">
        <v>2018</v>
      </c>
      <c r="B3" s="4" t="n">
        <v>3607</v>
      </c>
      <c r="C3" s="6" t="n">
        <f aca="false">B3/$B$2</f>
        <v>0.94226750261233</v>
      </c>
      <c r="D3" s="4" t="n">
        <v>3350</v>
      </c>
      <c r="E3" s="4" t="n">
        <v>253</v>
      </c>
    </row>
    <row r="4" customFormat="false" ht="15" hidden="false" customHeight="false" outlineLevel="0" collapsed="false">
      <c r="A4" s="2" t="n">
        <v>2019</v>
      </c>
      <c r="B4" s="4" t="n">
        <v>3447</v>
      </c>
      <c r="C4" s="6" t="n">
        <f aca="false">B4/$B$2</f>
        <v>0.900470219435737</v>
      </c>
      <c r="D4" s="4" t="n">
        <v>3170</v>
      </c>
      <c r="E4" s="4" t="n">
        <v>259</v>
      </c>
    </row>
    <row r="5" customFormat="false" ht="15" hidden="false" customHeight="false" outlineLevel="0" collapsed="false">
      <c r="A5" s="2" t="n">
        <v>2020</v>
      </c>
      <c r="B5" s="4" t="n">
        <v>3298</v>
      </c>
      <c r="C5" s="6" t="n">
        <f aca="false">B5/$B$2</f>
        <v>0.861546499477534</v>
      </c>
      <c r="D5" s="4" t="n">
        <v>3130</v>
      </c>
      <c r="E5" s="4" t="n">
        <v>155</v>
      </c>
    </row>
    <row r="6" customFormat="false" ht="15" hidden="false" customHeight="false" outlineLevel="0" collapsed="false">
      <c r="A6" s="2" t="n">
        <v>2021</v>
      </c>
      <c r="B6" s="4" t="n">
        <v>3190</v>
      </c>
      <c r="C6" s="6" t="n">
        <f aca="false">B6/$B$2</f>
        <v>0.833333333333333</v>
      </c>
      <c r="D6" s="4" t="n">
        <v>3050</v>
      </c>
      <c r="E6" s="4" t="n">
        <v>158</v>
      </c>
    </row>
    <row r="7" customFormat="false" ht="15" hidden="false" customHeight="false" outlineLevel="0" collapsed="false">
      <c r="A7" s="2" t="n">
        <v>2022</v>
      </c>
      <c r="B7" s="4" t="n">
        <v>2750</v>
      </c>
      <c r="C7" s="6" t="n">
        <f aca="false">B7/$B$2</f>
        <v>0.718390804597701</v>
      </c>
    </row>
    <row r="9" customFormat="false" ht="15" hidden="false" customHeight="false" outlineLevel="0" collapsed="false">
      <c r="A9" s="2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5" min="4" style="0" width="20"/>
    <col collapsed="false" customWidth="true" hidden="false" outlineLevel="0" max="7" min="6" style="0" width="16"/>
  </cols>
  <sheetData>
    <row r="1" customFormat="false" ht="15" hidden="false" customHeight="false" outlineLevel="0" collapsed="false">
      <c r="A1" s="1" t="s">
        <v>157</v>
      </c>
    </row>
    <row r="2" customFormat="false" ht="15" hidden="false" customHeight="false" outlineLevel="0" collapsed="false">
      <c r="A2" s="2" t="s">
        <v>158</v>
      </c>
      <c r="B2" s="7" t="n">
        <v>1000</v>
      </c>
    </row>
    <row r="3" customFormat="false" ht="15" hidden="false" customHeight="false" outlineLevel="0" collapsed="false">
      <c r="A3" s="2" t="s">
        <v>159</v>
      </c>
      <c r="B3" s="7" t="n">
        <v>1160</v>
      </c>
    </row>
    <row r="4" customFormat="false" ht="15" hidden="false" customHeight="false" outlineLevel="0" collapsed="false">
      <c r="A4" s="2" t="s">
        <v>160</v>
      </c>
      <c r="B4" s="7" t="n">
        <v>1350</v>
      </c>
    </row>
    <row r="5" customFormat="false" ht="15" hidden="false" customHeight="false" outlineLevel="0" collapsed="false">
      <c r="A5" s="2" t="s">
        <v>161</v>
      </c>
    </row>
    <row r="7" customFormat="false" ht="15" hidden="false" customHeight="false" outlineLevel="0" collapsed="false">
      <c r="A7" s="1" t="s">
        <v>162</v>
      </c>
    </row>
    <row r="8" customFormat="false" ht="15" hidden="false" customHeight="false" outlineLevel="0" collapsed="false">
      <c r="A8" s="2" t="s">
        <v>163</v>
      </c>
      <c r="B8" s="6" t="n">
        <f aca="false">CF_мощности!J8</f>
        <v>1.99036534250339</v>
      </c>
      <c r="C8" s="6" t="n">
        <f aca="false">CF_мощности!J9</f>
        <v>2.16415470679103</v>
      </c>
      <c r="D8" s="6" t="n">
        <f aca="false">CF_мощности!J10</f>
        <v>2.29760750995957</v>
      </c>
    </row>
    <row r="9" customFormat="false" ht="15" hidden="false" customHeight="false" outlineLevel="0" collapsed="false">
      <c r="A9" s="2" t="s">
        <v>164</v>
      </c>
      <c r="C9" s="6" t="n">
        <f aca="false">CF_мощности!K9</f>
        <v>1.26618091040641</v>
      </c>
    </row>
    <row r="10" customFormat="false" ht="15" hidden="false" customHeight="false" outlineLevel="0" collapsed="false">
      <c r="A10" s="2" t="s">
        <v>165</v>
      </c>
      <c r="B10" s="6" t="n">
        <f aca="false">Аналоги!D22</f>
        <v>0.102185151145859</v>
      </c>
      <c r="C10" s="6" t="n">
        <f aca="false">Аналоги!D23</f>
        <v>0.353610848675621</v>
      </c>
      <c r="D10" s="6" t="n">
        <f aca="false">Аналоги!D24</f>
        <v>0.608324536613206</v>
      </c>
    </row>
    <row r="12" customFormat="false" ht="15" hidden="false" customHeight="false" outlineLevel="0" collapsed="false">
      <c r="A12" s="1" t="s">
        <v>166</v>
      </c>
    </row>
    <row r="13" customFormat="false" ht="15" hidden="false" customHeight="false" outlineLevel="0" collapsed="false">
      <c r="A13" s="3" t="s">
        <v>167</v>
      </c>
      <c r="B13" s="3" t="s">
        <v>168</v>
      </c>
      <c r="C13" s="3" t="s">
        <v>169</v>
      </c>
      <c r="D13" s="3" t="s">
        <v>170</v>
      </c>
    </row>
    <row r="14" customFormat="false" ht="15" hidden="false" customHeight="false" outlineLevel="0" collapsed="false">
      <c r="A14" s="2" t="s">
        <v>171</v>
      </c>
      <c r="B14" s="9" t="n">
        <f aca="false">$B$3*B8</f>
        <v>2308.82379730393</v>
      </c>
      <c r="C14" s="9" t="n">
        <f aca="false">$B$3*C8</f>
        <v>2510.4194598776</v>
      </c>
      <c r="D14" s="9" t="n">
        <f aca="false">$B$3*D8</f>
        <v>2665.2247115531</v>
      </c>
    </row>
    <row r="15" customFormat="false" ht="15" hidden="false" customHeight="false" outlineLevel="0" collapsed="false">
      <c r="A15" s="2" t="s">
        <v>172</v>
      </c>
      <c r="B15" s="9" t="n">
        <f aca="false">$B$3*$C$9*B10</f>
        <v>150.086469741141</v>
      </c>
      <c r="C15" s="9" t="n">
        <f aca="false">$B$3*$C$9*C10</f>
        <v>519.37295531459</v>
      </c>
      <c r="D15" s="9" t="n">
        <f aca="false">$B$3*$C$9*D10</f>
        <v>893.4887420861</v>
      </c>
    </row>
    <row r="16" customFormat="false" ht="15" hidden="false" customHeight="false" outlineLevel="0" collapsed="false">
      <c r="A16" s="2" t="s">
        <v>173</v>
      </c>
      <c r="B16" s="9" t="n">
        <f aca="false">B14+B15</f>
        <v>2458.91026704507</v>
      </c>
      <c r="C16" s="9" t="n">
        <f aca="false">C14+C15</f>
        <v>3029.79241519219</v>
      </c>
      <c r="D16" s="9" t="n">
        <f aca="false">D14+D15</f>
        <v>3558.7134536392</v>
      </c>
    </row>
    <row r="17" customFormat="false" ht="15" hidden="false" customHeight="false" outlineLevel="0" collapsed="false">
      <c r="A17" s="2" t="s">
        <v>174</v>
      </c>
      <c r="C17" s="9" t="n">
        <f aca="false">$B$3*C9</f>
        <v>1468.76985607143</v>
      </c>
    </row>
    <row r="18" customFormat="false" ht="15" hidden="false" customHeight="false" outlineLevel="0" collapsed="false">
      <c r="A18" s="2" t="s">
        <v>175</v>
      </c>
      <c r="C18" s="4" t="n">
        <v>32</v>
      </c>
    </row>
    <row r="19" customFormat="false" ht="15" hidden="false" customHeight="false" outlineLevel="0" collapsed="false">
      <c r="A19" s="2" t="s">
        <v>176</v>
      </c>
      <c r="C19" s="10" t="n">
        <f aca="false">C18/C17</f>
        <v>0.021786939504322</v>
      </c>
    </row>
    <row r="20" customFormat="false" ht="15" hidden="false" customHeight="false" outlineLevel="0" collapsed="false">
      <c r="A20" s="2" t="s">
        <v>177</v>
      </c>
      <c r="C20" s="8" t="n">
        <f aca="false">C16/1444.447</f>
        <v>2.09754488409211</v>
      </c>
    </row>
    <row r="22" customFormat="false" ht="15" hidden="false" customHeight="false" outlineLevel="0" collapsed="false">
      <c r="A22" s="1" t="s">
        <v>178</v>
      </c>
    </row>
    <row r="23" customFormat="false" ht="15" hidden="false" customHeight="false" outlineLevel="0" collapsed="false">
      <c r="A23" s="3" t="s">
        <v>16</v>
      </c>
      <c r="B23" s="3" t="s">
        <v>179</v>
      </c>
      <c r="C23" s="3" t="s">
        <v>180</v>
      </c>
      <c r="D23" s="3" t="s">
        <v>181</v>
      </c>
      <c r="E23" s="3" t="s">
        <v>182</v>
      </c>
      <c r="F23" s="3" t="s">
        <v>183</v>
      </c>
      <c r="G23" s="3" t="s">
        <v>184</v>
      </c>
    </row>
    <row r="24" customFormat="false" ht="15" hidden="false" customHeight="false" outlineLevel="0" collapsed="false">
      <c r="A24" s="2" t="n">
        <v>2017</v>
      </c>
      <c r="B24" s="5" t="n">
        <f aca="false">Год_эффекты!H2</f>
        <v>1</v>
      </c>
      <c r="C24" s="9" t="n">
        <f aca="false">$C$16*B24/Год_эффекты!$H$8</f>
        <v>2782.24124378572</v>
      </c>
      <c r="D24" s="9" t="n">
        <f aca="false">$C$16*Год_эффекты!I2/Год_эффекты!$H$8</f>
        <v>2782.24124378572</v>
      </c>
      <c r="E24" s="9" t="n">
        <f aca="false">$C$16*Год_эффекты!J2/Год_эффекты!$H$8</f>
        <v>2782.24124378572</v>
      </c>
      <c r="F24" s="9" t="n">
        <f aca="false">C24*$B$2/$B$3</f>
        <v>2398.48383084976</v>
      </c>
      <c r="G24" s="9" t="n">
        <f aca="false">C24*$B$4/$B$3</f>
        <v>3237.95317164717</v>
      </c>
    </row>
    <row r="25" customFormat="false" ht="15" hidden="false" customHeight="false" outlineLevel="0" collapsed="false">
      <c r="A25" s="2" t="n">
        <v>2018</v>
      </c>
      <c r="B25" s="5" t="n">
        <f aca="false">Год_эффекты!H3</f>
        <v>1.04591803301398</v>
      </c>
      <c r="C25" s="9" t="n">
        <f aca="false">$C$16*B25/Год_эффекты!$H$8</f>
        <v>2909.99628907072</v>
      </c>
      <c r="D25" s="9" t="n">
        <f aca="false">$C$16*Год_эффекты!I3/Год_эффекты!$H$8</f>
        <v>2728.01149219371</v>
      </c>
      <c r="E25" s="9" t="n">
        <f aca="false">$C$16*Год_эффекты!J3/Год_эффекты!$H$8</f>
        <v>3121.23968945149</v>
      </c>
      <c r="F25" s="9" t="n">
        <f aca="false">C25*$B$2/$B$3</f>
        <v>2508.61749057821</v>
      </c>
      <c r="G25" s="9" t="n">
        <f aca="false">C25*$B$4/$B$3</f>
        <v>3386.63361228058</v>
      </c>
    </row>
    <row r="26" customFormat="false" ht="15" hidden="false" customHeight="false" outlineLevel="0" collapsed="false">
      <c r="A26" s="2" t="n">
        <v>2019</v>
      </c>
      <c r="B26" s="5" t="n">
        <f aca="false">Год_эффекты!H4</f>
        <v>1.03640486970275</v>
      </c>
      <c r="C26" s="9" t="n">
        <f aca="false">$C$16*B26/Год_эффекты!$H$8</f>
        <v>2883.52837374735</v>
      </c>
      <c r="D26" s="9" t="n">
        <f aca="false">$C$16*Год_эффекты!I4/Год_эффекты!$H$8</f>
        <v>2705.28211475452</v>
      </c>
      <c r="E26" s="9" t="n">
        <f aca="false">$C$16*Год_эффекты!J4/Год_эффекты!$H$8</f>
        <v>3097.03259290054</v>
      </c>
      <c r="F26" s="9" t="n">
        <f aca="false">C26*$B$2/$B$3</f>
        <v>2485.80032219599</v>
      </c>
      <c r="G26" s="9" t="n">
        <f aca="false">C26*$B$4/$B$3</f>
        <v>3355.83043496459</v>
      </c>
    </row>
    <row r="27" customFormat="false" ht="15" hidden="false" customHeight="false" outlineLevel="0" collapsed="false">
      <c r="A27" s="2" t="n">
        <v>2020</v>
      </c>
      <c r="B27" s="5" t="n">
        <f aca="false">Год_эффекты!H5</f>
        <v>1.09002394724869</v>
      </c>
      <c r="C27" s="9" t="n">
        <f aca="false">$C$16*B27/Год_эффекты!$H$8</f>
        <v>3032.70958274942</v>
      </c>
      <c r="D27" s="9" t="n">
        <f aca="false">$C$16*Год_эффекты!I5/Год_эффекты!$H$8</f>
        <v>2809.27242859055</v>
      </c>
      <c r="E27" s="9" t="n">
        <f aca="false">$C$16*Год_эффекты!J5/Год_эффекты!$H$8</f>
        <v>3312.77852696673</v>
      </c>
      <c r="F27" s="9" t="n">
        <f aca="false">C27*$B$2/$B$3</f>
        <v>2614.40481271502</v>
      </c>
      <c r="G27" s="9" t="n">
        <f aca="false">C27*$B$4/$B$3</f>
        <v>3529.44649716527</v>
      </c>
    </row>
    <row r="28" customFormat="false" ht="15" hidden="false" customHeight="false" outlineLevel="0" collapsed="false">
      <c r="A28" s="2" t="n">
        <v>2021</v>
      </c>
      <c r="B28" s="5" t="n">
        <f aca="false">Год_эффекты!H6</f>
        <v>1.03527270628236</v>
      </c>
      <c r="C28" s="9" t="n">
        <f aca="false">$C$16*B28/Год_эффекты!$H$8</f>
        <v>2880.37842198444</v>
      </c>
      <c r="D28" s="9" t="n">
        <f aca="false">$C$16*Год_эффекты!I6/Год_эффекты!$H$8</f>
        <v>2682.36829366605</v>
      </c>
      <c r="E28" s="9" t="n">
        <f aca="false">$C$16*Год_эффекты!J6/Год_эффекты!$H$8</f>
        <v>3093.16148229126</v>
      </c>
      <c r="F28" s="9" t="n">
        <f aca="false">C28*$B$2/$B$3</f>
        <v>2483.08484653831</v>
      </c>
      <c r="G28" s="9" t="n">
        <f aca="false">C28*$B$4/$B$3</f>
        <v>3352.16454282672</v>
      </c>
    </row>
    <row r="29" customFormat="false" ht="15" hidden="false" customHeight="false" outlineLevel="0" collapsed="false">
      <c r="A29" s="2" t="n">
        <v>2022</v>
      </c>
      <c r="B29" s="5" t="n">
        <f aca="false">Год_эффекты!H7</f>
        <v>1.06380121893854</v>
      </c>
      <c r="C29" s="9" t="n">
        <f aca="false">$C$16*B29/Год_эффекты!$H$8</f>
        <v>2959.75162652033</v>
      </c>
      <c r="D29" s="9" t="n">
        <f aca="false">$C$16*Год_эффекты!I7/Год_эффекты!$H$8</f>
        <v>2703.70346637148</v>
      </c>
      <c r="E29" s="9" t="n">
        <f aca="false">$C$16*Год_эффекты!J7/Год_эффекты!$H$8</f>
        <v>3227.67659426562</v>
      </c>
      <c r="F29" s="9" t="n">
        <f aca="false">C29*$B$2/$B$3</f>
        <v>2551.51002286235</v>
      </c>
      <c r="G29" s="9" t="n">
        <f aca="false">C29*$B$4/$B$3</f>
        <v>3444.53853086417</v>
      </c>
    </row>
    <row r="30" customFormat="false" ht="15" hidden="false" customHeight="false" outlineLevel="0" collapsed="false">
      <c r="A30" s="2" t="n">
        <v>2023</v>
      </c>
      <c r="B30" s="5" t="n">
        <f aca="false">Год_эффекты!H8</f>
        <v>1.08897545170081</v>
      </c>
      <c r="C30" s="9" t="n">
        <f aca="false">$C$16*B30/Год_эффекты!$H$8</f>
        <v>3029.79241519219</v>
      </c>
      <c r="D30" s="9" t="n">
        <f aca="false">$C$16*Год_эффекты!I8/Год_эффекты!$H$8</f>
        <v>2791.93307523424</v>
      </c>
      <c r="E30" s="9" t="n">
        <f aca="false">$C$16*Год_эффекты!J8/Год_эффекты!$H$8</f>
        <v>3305.13758168687</v>
      </c>
      <c r="F30" s="9" t="n">
        <f aca="false">C30*$B$2/$B$3</f>
        <v>2611.89001309671</v>
      </c>
      <c r="G30" s="9" t="n">
        <f aca="false">C30*$B$4/$B$3</f>
        <v>3526.05151768056</v>
      </c>
    </row>
    <row r="32" customFormat="false" ht="15" hidden="false" customHeight="false" outlineLevel="0" collapsed="false">
      <c r="A32" s="2" t="s">
        <v>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2026-10-13T07:07:01Z</dcterms:created>
  <dc:creator/>
  <dc:description/>
  <dc:language>en-US</dc:language>
  <cp:lastModifiedBy/>
  <dcterms:modified xsi:type="dcterms:W3CDTF">2026-10-13T07:07:01Z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